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13_ncr:1_{0A863D28-EE27-47AD-ADF0-A285E79CC0AE}" xr6:coauthVersionLast="47" xr6:coauthVersionMax="47" xr10:uidLastSave="{00000000-0000-0000-0000-000000000000}"/>
  <bookViews>
    <workbookView xWindow="-108" yWindow="-108" windowWidth="23256" windowHeight="12456" firstSheet="2" activeTab="4" xr2:uid="{00000000-000D-0000-FFFF-FFFF00000000}"/>
  </bookViews>
  <sheets>
    <sheet name="Summary" sheetId="5" r:id="rId1"/>
    <sheet name="DC" sheetId="6" r:id="rId2"/>
    <sheet name="Purchase" sheetId="3" r:id="rId3"/>
    <sheet name="BOQ" sheetId="2" r:id="rId4"/>
    <sheet name="PO Master" sheetId="7" r:id="rId5"/>
    <sheet name="PO (2)" sheetId="8" r:id="rId6"/>
    <sheet name="Sheet2" sheetId="9" r:id="rId7"/>
  </sheets>
  <functionGroups builtInGroupCount="19"/>
  <definedNames>
    <definedName name="_xlnm._FilterDatabase" localSheetId="3" hidden="1">BOQ!$A$1:$T$551</definedName>
    <definedName name="_xlnm.Print_Area" localSheetId="1">DC!$A$1:$H$41</definedName>
    <definedName name="_xlnm.Print_Area" localSheetId="5">'PO (2)'!$A$1:$H$43</definedName>
    <definedName name="_xlnm.Print_Area" localSheetId="4">'PO Master'!$A$1:$H$43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9" l="1"/>
  <c r="C18" i="9"/>
  <c r="J126" i="9"/>
  <c r="J125" i="9"/>
  <c r="F41" i="9"/>
  <c r="A41" i="9"/>
  <c r="J23" i="9"/>
  <c r="H23" i="9"/>
  <c r="E23" i="9"/>
  <c r="D23" i="9"/>
  <c r="C23" i="9"/>
  <c r="J22" i="9"/>
  <c r="H22" i="9"/>
  <c r="E22" i="9"/>
  <c r="D22" i="9"/>
  <c r="C22" i="9"/>
  <c r="J21" i="9"/>
  <c r="E21" i="9"/>
  <c r="D21" i="9"/>
  <c r="C21" i="9"/>
  <c r="J20" i="9"/>
  <c r="H20" i="9"/>
  <c r="E20" i="9"/>
  <c r="D20" i="9"/>
  <c r="C20" i="9"/>
  <c r="J19" i="9"/>
  <c r="H19" i="9"/>
  <c r="E19" i="9"/>
  <c r="D19" i="9"/>
  <c r="C19" i="9"/>
  <c r="H18" i="9"/>
  <c r="J17" i="9"/>
  <c r="H17" i="9"/>
  <c r="E17" i="9"/>
  <c r="D17" i="9"/>
  <c r="C17" i="9"/>
  <c r="E8" i="9"/>
  <c r="E6" i="9"/>
  <c r="E18" i="8"/>
  <c r="J126" i="8"/>
  <c r="J125" i="8"/>
  <c r="F41" i="8"/>
  <c r="A41" i="8"/>
  <c r="H24" i="8"/>
  <c r="H26" i="8" s="1"/>
  <c r="J23" i="8"/>
  <c r="H23" i="8"/>
  <c r="E23" i="8"/>
  <c r="D23" i="8"/>
  <c r="C23" i="8"/>
  <c r="J22" i="8"/>
  <c r="H22" i="8"/>
  <c r="E22" i="8"/>
  <c r="D22" i="8"/>
  <c r="C22" i="8"/>
  <c r="J21" i="8"/>
  <c r="E21" i="8"/>
  <c r="D21" i="8"/>
  <c r="C21" i="8"/>
  <c r="J20" i="8"/>
  <c r="H20" i="8"/>
  <c r="E20" i="8"/>
  <c r="D20" i="8"/>
  <c r="C20" i="8"/>
  <c r="J19" i="8"/>
  <c r="H19" i="8"/>
  <c r="E19" i="8"/>
  <c r="D19" i="8"/>
  <c r="C19" i="8"/>
  <c r="H18" i="8"/>
  <c r="J17" i="8"/>
  <c r="H17" i="8"/>
  <c r="E17" i="8"/>
  <c r="D17" i="8"/>
  <c r="C17" i="8"/>
  <c r="E8" i="8"/>
  <c r="E6" i="8"/>
  <c r="C20" i="7"/>
  <c r="C22" i="7"/>
  <c r="D22" i="7"/>
  <c r="E22" i="7"/>
  <c r="H22" i="7"/>
  <c r="J22" i="7"/>
  <c r="J23" i="7"/>
  <c r="J21" i="7"/>
  <c r="J17" i="7"/>
  <c r="C23" i="7"/>
  <c r="D23" i="7"/>
  <c r="E23" i="7"/>
  <c r="H23" i="7"/>
  <c r="C18" i="7"/>
  <c r="D18" i="7"/>
  <c r="E18" i="7"/>
  <c r="C19" i="7"/>
  <c r="D19" i="7"/>
  <c r="E19" i="7"/>
  <c r="D20" i="7"/>
  <c r="E20" i="7"/>
  <c r="C21" i="7"/>
  <c r="D21" i="7"/>
  <c r="E21" i="7"/>
  <c r="J18" i="7"/>
  <c r="J19" i="7"/>
  <c r="J20" i="7"/>
  <c r="J125" i="7"/>
  <c r="J126" i="7"/>
  <c r="J9" i="6"/>
  <c r="J10" i="6"/>
  <c r="J11" i="6"/>
  <c r="J12" i="6"/>
  <c r="J13" i="6"/>
  <c r="J14" i="6"/>
  <c r="J15" i="6"/>
  <c r="J16" i="6"/>
  <c r="J17" i="6"/>
  <c r="J18" i="6"/>
  <c r="J19" i="6"/>
  <c r="J20" i="6"/>
  <c r="J21" i="6"/>
  <c r="J22" i="6"/>
  <c r="J23" i="6"/>
  <c r="J121" i="6"/>
  <c r="J122" i="6"/>
  <c r="J123" i="6"/>
  <c r="J124" i="6"/>
  <c r="J125" i="6"/>
  <c r="J126" i="6"/>
  <c r="J127" i="6"/>
  <c r="J128" i="6"/>
  <c r="J129" i="6"/>
  <c r="J130" i="6"/>
  <c r="J131" i="6"/>
  <c r="H18" i="7"/>
  <c r="H19" i="7"/>
  <c r="H20" i="7"/>
  <c r="E6" i="7"/>
  <c r="E8" i="7"/>
  <c r="C17" i="7"/>
  <c r="D17" i="7"/>
  <c r="E17" i="7"/>
  <c r="H17" i="7"/>
  <c r="F41" i="7"/>
  <c r="G9" i="6"/>
  <c r="D9" i="6"/>
  <c r="H24" i="9" l="1"/>
  <c r="H26" i="9" s="1"/>
  <c r="H27" i="9" s="1"/>
  <c r="H29" i="9" s="1"/>
  <c r="D18" i="9"/>
  <c r="J18" i="9"/>
  <c r="E18" i="9"/>
  <c r="H28" i="9"/>
  <c r="J18" i="8"/>
  <c r="C18" i="8"/>
  <c r="D18" i="8"/>
  <c r="H27" i="8"/>
  <c r="H29" i="8" s="1"/>
  <c r="H28" i="8"/>
  <c r="H24" i="7"/>
  <c r="H26" i="7" s="1"/>
  <c r="H28" i="7" s="1"/>
  <c r="A41" i="7"/>
  <c r="B29" i="9" a="1"/>
  <c r="B29" i="8" a="1"/>
  <c r="B29" i="9" l="1"/>
  <c r="B29" i="8"/>
  <c r="H27" i="7"/>
  <c r="H29" i="7" s="1"/>
  <c r="G23" i="6"/>
  <c r="G10" i="6"/>
  <c r="G11" i="6"/>
  <c r="G12" i="6"/>
  <c r="G13" i="6"/>
  <c r="G14" i="6"/>
  <c r="G15" i="6"/>
  <c r="G16" i="6"/>
  <c r="G17" i="6"/>
  <c r="G18" i="6"/>
  <c r="G19" i="6"/>
  <c r="G20" i="6"/>
  <c r="G21" i="6"/>
  <c r="G22" i="6"/>
  <c r="B23" i="6"/>
  <c r="D23" i="6"/>
  <c r="E23" i="6"/>
  <c r="B15" i="6"/>
  <c r="D15" i="6"/>
  <c r="E15" i="6"/>
  <c r="B16" i="6"/>
  <c r="D16" i="6"/>
  <c r="E16" i="6"/>
  <c r="B17" i="6"/>
  <c r="D17" i="6"/>
  <c r="E17" i="6"/>
  <c r="B18" i="6"/>
  <c r="D18" i="6"/>
  <c r="E18" i="6"/>
  <c r="B19" i="6"/>
  <c r="D19" i="6"/>
  <c r="E19" i="6"/>
  <c r="B20" i="6"/>
  <c r="D20" i="6"/>
  <c r="E20" i="6"/>
  <c r="B21" i="6"/>
  <c r="D21" i="6"/>
  <c r="E21" i="6"/>
  <c r="B22" i="6"/>
  <c r="D22" i="6"/>
  <c r="E22" i="6"/>
  <c r="E10" i="6"/>
  <c r="E11" i="6"/>
  <c r="E12" i="6"/>
  <c r="E13" i="6"/>
  <c r="E14" i="6"/>
  <c r="D12" i="6"/>
  <c r="D13" i="6"/>
  <c r="D14" i="6"/>
  <c r="B10" i="6"/>
  <c r="B11" i="6"/>
  <c r="B12" i="6"/>
  <c r="B13" i="6"/>
  <c r="B14" i="6"/>
  <c r="C26" i="6"/>
  <c r="C27" i="6" s="1"/>
  <c r="E9" i="6"/>
  <c r="B9" i="6"/>
  <c r="D10" i="6"/>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3" i="2"/>
  <c r="B29" i="7" a="1"/>
  <c r="B29" i="7" l="1"/>
  <c r="B4" i="5"/>
  <c r="B1" i="5"/>
  <c r="S551" i="2"/>
  <c r="T551" i="2" s="1"/>
  <c r="S550" i="2"/>
  <c r="T550" i="2" s="1"/>
  <c r="S549" i="2"/>
  <c r="T549" i="2" s="1"/>
  <c r="S548" i="2"/>
  <c r="T548" i="2" s="1"/>
  <c r="S547" i="2"/>
  <c r="T547" i="2" s="1"/>
  <c r="S546" i="2"/>
  <c r="T546" i="2" s="1"/>
  <c r="S545" i="2"/>
  <c r="T545" i="2" s="1"/>
  <c r="S544" i="2"/>
  <c r="T544" i="2" s="1"/>
  <c r="S543" i="2"/>
  <c r="T543" i="2" s="1"/>
  <c r="S542" i="2"/>
  <c r="T542" i="2" s="1"/>
  <c r="S541" i="2"/>
  <c r="T541" i="2" s="1"/>
  <c r="S540" i="2"/>
  <c r="T540" i="2" s="1"/>
  <c r="S539" i="2"/>
  <c r="T539" i="2" s="1"/>
  <c r="S538" i="2"/>
  <c r="T538" i="2" s="1"/>
  <c r="S537" i="2"/>
  <c r="T537" i="2" s="1"/>
  <c r="S536" i="2"/>
  <c r="T536" i="2" s="1"/>
  <c r="S535" i="2"/>
  <c r="T535" i="2" s="1"/>
  <c r="S534" i="2"/>
  <c r="T534" i="2" s="1"/>
  <c r="S533" i="2"/>
  <c r="T533" i="2" s="1"/>
  <c r="S532" i="2"/>
  <c r="T532" i="2" s="1"/>
  <c r="S531" i="2"/>
  <c r="T531" i="2" s="1"/>
  <c r="S530" i="2"/>
  <c r="T530" i="2" s="1"/>
  <c r="S529" i="2"/>
  <c r="T529" i="2" s="1"/>
  <c r="S528" i="2"/>
  <c r="T528" i="2" s="1"/>
  <c r="S527" i="2"/>
  <c r="T527" i="2" s="1"/>
  <c r="S526" i="2"/>
  <c r="T526" i="2" s="1"/>
  <c r="S525" i="2"/>
  <c r="T525" i="2" s="1"/>
  <c r="S524" i="2"/>
  <c r="T524" i="2" s="1"/>
  <c r="S523" i="2"/>
  <c r="T523" i="2" s="1"/>
  <c r="S522" i="2"/>
  <c r="T522" i="2" s="1"/>
  <c r="S521" i="2"/>
  <c r="T521" i="2" s="1"/>
  <c r="S520" i="2"/>
  <c r="T520" i="2" s="1"/>
  <c r="S519" i="2"/>
  <c r="T519" i="2" s="1"/>
  <c r="S518" i="2"/>
  <c r="T518" i="2" s="1"/>
  <c r="S517" i="2"/>
  <c r="T517" i="2" s="1"/>
  <c r="S516" i="2"/>
  <c r="T516" i="2" s="1"/>
  <c r="S515" i="2"/>
  <c r="T515" i="2" s="1"/>
  <c r="S514" i="2"/>
  <c r="T514" i="2" s="1"/>
  <c r="S513" i="2"/>
  <c r="T513" i="2" s="1"/>
  <c r="S512" i="2"/>
  <c r="T512" i="2" s="1"/>
  <c r="S511" i="2"/>
  <c r="T511" i="2" s="1"/>
  <c r="S510" i="2"/>
  <c r="T510" i="2" s="1"/>
  <c r="S509" i="2"/>
  <c r="T509" i="2" s="1"/>
  <c r="S508" i="2"/>
  <c r="T508" i="2" s="1"/>
  <c r="S507" i="2"/>
  <c r="T507" i="2" s="1"/>
  <c r="S506" i="2"/>
  <c r="T506" i="2" s="1"/>
  <c r="S505" i="2"/>
  <c r="T505" i="2" s="1"/>
  <c r="S504" i="2"/>
  <c r="T504" i="2" s="1"/>
  <c r="S503" i="2"/>
  <c r="T503" i="2" s="1"/>
  <c r="S502" i="2"/>
  <c r="T502" i="2" s="1"/>
  <c r="S501" i="2"/>
  <c r="T501" i="2" s="1"/>
  <c r="S500" i="2"/>
  <c r="T500" i="2" s="1"/>
  <c r="S499" i="2"/>
  <c r="T499" i="2" s="1"/>
  <c r="S498" i="2"/>
  <c r="T498" i="2" s="1"/>
  <c r="S497" i="2"/>
  <c r="T497" i="2" s="1"/>
  <c r="S496" i="2"/>
  <c r="T496" i="2" s="1"/>
  <c r="S495" i="2"/>
  <c r="T495" i="2" s="1"/>
  <c r="S494" i="2"/>
  <c r="T494" i="2" s="1"/>
  <c r="S493" i="2"/>
  <c r="T493" i="2" s="1"/>
  <c r="S492" i="2"/>
  <c r="T492" i="2" s="1"/>
  <c r="S491" i="2"/>
  <c r="T491" i="2" s="1"/>
  <c r="S490" i="2"/>
  <c r="T490" i="2" s="1"/>
  <c r="S489" i="2"/>
  <c r="T489" i="2" s="1"/>
  <c r="S488" i="2"/>
  <c r="T488" i="2" s="1"/>
  <c r="S487" i="2"/>
  <c r="T487" i="2" s="1"/>
  <c r="S486" i="2"/>
  <c r="T486" i="2" s="1"/>
  <c r="S485" i="2"/>
  <c r="T485" i="2" s="1"/>
  <c r="S484" i="2"/>
  <c r="T484" i="2" s="1"/>
  <c r="S483" i="2"/>
  <c r="T483" i="2" s="1"/>
  <c r="S482" i="2"/>
  <c r="T482" i="2" s="1"/>
  <c r="S481" i="2"/>
  <c r="T481" i="2" s="1"/>
  <c r="S480" i="2"/>
  <c r="T480" i="2" s="1"/>
  <c r="S479" i="2"/>
  <c r="T479" i="2" s="1"/>
  <c r="S478" i="2"/>
  <c r="T478" i="2" s="1"/>
  <c r="S477" i="2"/>
  <c r="T477" i="2" s="1"/>
  <c r="S476" i="2"/>
  <c r="T476" i="2" s="1"/>
  <c r="S475" i="2"/>
  <c r="T475" i="2" s="1"/>
  <c r="S474" i="2"/>
  <c r="T474" i="2" s="1"/>
  <c r="S473" i="2"/>
  <c r="T473" i="2" s="1"/>
  <c r="S472" i="2"/>
  <c r="T472" i="2" s="1"/>
  <c r="S471" i="2"/>
  <c r="T471" i="2" s="1"/>
  <c r="S470" i="2"/>
  <c r="T470" i="2" s="1"/>
  <c r="S469" i="2"/>
  <c r="T469" i="2" s="1"/>
  <c r="S468" i="2"/>
  <c r="T468" i="2" s="1"/>
  <c r="S467" i="2"/>
  <c r="T467" i="2" s="1"/>
  <c r="S466" i="2"/>
  <c r="T466" i="2" s="1"/>
  <c r="S465" i="2"/>
  <c r="T465" i="2" s="1"/>
  <c r="S464" i="2"/>
  <c r="T464" i="2" s="1"/>
  <c r="S463" i="2"/>
  <c r="T463" i="2" s="1"/>
  <c r="S462" i="2"/>
  <c r="T462" i="2" s="1"/>
  <c r="S461" i="2"/>
  <c r="T461" i="2" s="1"/>
  <c r="S460" i="2"/>
  <c r="T460" i="2" s="1"/>
  <c r="S459" i="2"/>
  <c r="T459" i="2" s="1"/>
  <c r="S458" i="2"/>
  <c r="T458" i="2" s="1"/>
  <c r="S457" i="2"/>
  <c r="T457" i="2" s="1"/>
  <c r="S456" i="2"/>
  <c r="T456" i="2" s="1"/>
  <c r="S455" i="2"/>
  <c r="T455" i="2" s="1"/>
  <c r="S454" i="2"/>
  <c r="T454" i="2" s="1"/>
  <c r="S453" i="2"/>
  <c r="T453" i="2" s="1"/>
  <c r="S452" i="2"/>
  <c r="T452" i="2" s="1"/>
  <c r="S451" i="2"/>
  <c r="T451" i="2" s="1"/>
  <c r="S450" i="2"/>
  <c r="T450" i="2" s="1"/>
  <c r="S449" i="2"/>
  <c r="T449" i="2" s="1"/>
  <c r="S448" i="2"/>
  <c r="T448" i="2" s="1"/>
  <c r="S447" i="2"/>
  <c r="T447" i="2" s="1"/>
  <c r="S446" i="2"/>
  <c r="T446" i="2" s="1"/>
  <c r="S445" i="2"/>
  <c r="T445" i="2" s="1"/>
  <c r="S444" i="2"/>
  <c r="T444" i="2" s="1"/>
  <c r="S443" i="2"/>
  <c r="T443" i="2" s="1"/>
  <c r="S442" i="2"/>
  <c r="T442" i="2" s="1"/>
  <c r="S441" i="2"/>
  <c r="T441" i="2" s="1"/>
  <c r="S440" i="2"/>
  <c r="T440" i="2" s="1"/>
  <c r="S439" i="2"/>
  <c r="T439" i="2" s="1"/>
  <c r="S438" i="2"/>
  <c r="T438" i="2" s="1"/>
  <c r="S437" i="2"/>
  <c r="T437" i="2" s="1"/>
  <c r="S436" i="2"/>
  <c r="T436" i="2" s="1"/>
  <c r="S435" i="2"/>
  <c r="T435" i="2" s="1"/>
  <c r="S434" i="2"/>
  <c r="T434" i="2" s="1"/>
  <c r="S433" i="2"/>
  <c r="T433" i="2" s="1"/>
  <c r="S432" i="2"/>
  <c r="T432" i="2" s="1"/>
  <c r="S431" i="2"/>
  <c r="T431" i="2" s="1"/>
  <c r="S430" i="2"/>
  <c r="T430" i="2" s="1"/>
  <c r="S429" i="2"/>
  <c r="T429" i="2" s="1"/>
  <c r="S428" i="2"/>
  <c r="T428" i="2" s="1"/>
  <c r="S427" i="2"/>
  <c r="T427" i="2" s="1"/>
  <c r="S426" i="2"/>
  <c r="T426" i="2" s="1"/>
  <c r="S425" i="2"/>
  <c r="T425" i="2" s="1"/>
  <c r="S424" i="2"/>
  <c r="T424" i="2" s="1"/>
  <c r="S423" i="2"/>
  <c r="T423" i="2" s="1"/>
  <c r="S422" i="2"/>
  <c r="T422" i="2" s="1"/>
  <c r="S421" i="2"/>
  <c r="T421" i="2" s="1"/>
  <c r="S420" i="2"/>
  <c r="T420" i="2" s="1"/>
  <c r="S419" i="2"/>
  <c r="T419" i="2" s="1"/>
  <c r="S418" i="2"/>
  <c r="T418" i="2" s="1"/>
  <c r="S417" i="2"/>
  <c r="T417" i="2" s="1"/>
  <c r="S416" i="2"/>
  <c r="T416" i="2" s="1"/>
  <c r="S415" i="2"/>
  <c r="T415" i="2" s="1"/>
  <c r="S414" i="2"/>
  <c r="T414" i="2" s="1"/>
  <c r="S413" i="2"/>
  <c r="T413" i="2" s="1"/>
  <c r="S412" i="2"/>
  <c r="T412" i="2" s="1"/>
  <c r="S411" i="2"/>
  <c r="T411" i="2" s="1"/>
  <c r="S410" i="2"/>
  <c r="T410" i="2" s="1"/>
  <c r="S409" i="2"/>
  <c r="T409" i="2" s="1"/>
  <c r="S408" i="2"/>
  <c r="T408" i="2" s="1"/>
  <c r="S407" i="2"/>
  <c r="T407" i="2" s="1"/>
  <c r="S406" i="2"/>
  <c r="T406" i="2" s="1"/>
  <c r="S405" i="2"/>
  <c r="T405" i="2" s="1"/>
  <c r="S404" i="2"/>
  <c r="T404" i="2" s="1"/>
  <c r="S403" i="2"/>
  <c r="T403" i="2" s="1"/>
  <c r="S402" i="2"/>
  <c r="T402" i="2" s="1"/>
  <c r="S401" i="2"/>
  <c r="T401" i="2" s="1"/>
  <c r="S400" i="2"/>
  <c r="T400" i="2" s="1"/>
  <c r="S399" i="2"/>
  <c r="T399" i="2" s="1"/>
  <c r="S398" i="2"/>
  <c r="T398" i="2" s="1"/>
  <c r="S397" i="2"/>
  <c r="T397" i="2" s="1"/>
  <c r="S396" i="2"/>
  <c r="T396" i="2" s="1"/>
  <c r="S395" i="2"/>
  <c r="T395" i="2" s="1"/>
  <c r="S394" i="2"/>
  <c r="T394" i="2" s="1"/>
  <c r="S393" i="2"/>
  <c r="T393" i="2" s="1"/>
  <c r="S392" i="2"/>
  <c r="T392" i="2" s="1"/>
  <c r="S391" i="2"/>
  <c r="T391" i="2" s="1"/>
  <c r="S390" i="2"/>
  <c r="T390" i="2" s="1"/>
  <c r="S389" i="2"/>
  <c r="T389" i="2" s="1"/>
  <c r="S388" i="2"/>
  <c r="T388" i="2" s="1"/>
  <c r="S387" i="2"/>
  <c r="T387" i="2" s="1"/>
  <c r="S386" i="2"/>
  <c r="T386" i="2" s="1"/>
  <c r="S385" i="2"/>
  <c r="T385" i="2" s="1"/>
  <c r="S384" i="2"/>
  <c r="T384" i="2" s="1"/>
  <c r="S383" i="2"/>
  <c r="T383" i="2" s="1"/>
  <c r="S382" i="2"/>
  <c r="T382" i="2" s="1"/>
  <c r="S381" i="2"/>
  <c r="T381" i="2" s="1"/>
  <c r="S380" i="2"/>
  <c r="T380" i="2" s="1"/>
  <c r="S379" i="2"/>
  <c r="T379" i="2" s="1"/>
  <c r="S378" i="2"/>
  <c r="T378" i="2" s="1"/>
  <c r="S377" i="2"/>
  <c r="T377" i="2" s="1"/>
  <c r="S376" i="2"/>
  <c r="T376" i="2" s="1"/>
  <c r="S375" i="2"/>
  <c r="T375" i="2" s="1"/>
  <c r="S374" i="2"/>
  <c r="T374" i="2" s="1"/>
  <c r="S373" i="2"/>
  <c r="T373" i="2" s="1"/>
  <c r="S372" i="2"/>
  <c r="T372" i="2" s="1"/>
  <c r="S371" i="2"/>
  <c r="T371" i="2" s="1"/>
  <c r="S370" i="2"/>
  <c r="T370" i="2" s="1"/>
  <c r="S369" i="2"/>
  <c r="T369" i="2" s="1"/>
  <c r="S368" i="2"/>
  <c r="T368" i="2" s="1"/>
  <c r="S367" i="2"/>
  <c r="T367" i="2" s="1"/>
  <c r="S366" i="2"/>
  <c r="T366" i="2" s="1"/>
  <c r="S365" i="2"/>
  <c r="T365" i="2" s="1"/>
  <c r="S364" i="2"/>
  <c r="T364" i="2" s="1"/>
  <c r="S363" i="2"/>
  <c r="T363" i="2" s="1"/>
  <c r="S362" i="2"/>
  <c r="T362" i="2" s="1"/>
  <c r="S361" i="2"/>
  <c r="T361" i="2" s="1"/>
  <c r="S360" i="2"/>
  <c r="T360" i="2" s="1"/>
  <c r="S359" i="2"/>
  <c r="T359" i="2" s="1"/>
  <c r="S358" i="2"/>
  <c r="T358" i="2" s="1"/>
  <c r="S357" i="2"/>
  <c r="T357" i="2" s="1"/>
  <c r="S356" i="2"/>
  <c r="T356" i="2" s="1"/>
  <c r="S355" i="2"/>
  <c r="T355" i="2" s="1"/>
  <c r="S354" i="2"/>
  <c r="T354" i="2" s="1"/>
  <c r="S353" i="2"/>
  <c r="T353" i="2" s="1"/>
  <c r="S352" i="2"/>
  <c r="T352" i="2" s="1"/>
  <c r="S351" i="2"/>
  <c r="T351" i="2" s="1"/>
  <c r="S350" i="2"/>
  <c r="T350" i="2" s="1"/>
  <c r="S349" i="2"/>
  <c r="T349" i="2" s="1"/>
  <c r="S348" i="2"/>
  <c r="T348" i="2" s="1"/>
  <c r="S347" i="2"/>
  <c r="T347" i="2" s="1"/>
  <c r="S346" i="2"/>
  <c r="T346" i="2" s="1"/>
  <c r="S345" i="2"/>
  <c r="T345" i="2" s="1"/>
  <c r="S344" i="2"/>
  <c r="T344" i="2" s="1"/>
  <c r="S343" i="2"/>
  <c r="T343" i="2" s="1"/>
  <c r="S342" i="2"/>
  <c r="T342" i="2" s="1"/>
  <c r="S341" i="2"/>
  <c r="T341" i="2" s="1"/>
  <c r="S340" i="2"/>
  <c r="T340" i="2" s="1"/>
  <c r="S339" i="2"/>
  <c r="T339" i="2" s="1"/>
  <c r="S338" i="2"/>
  <c r="T338" i="2" s="1"/>
  <c r="S337" i="2"/>
  <c r="T337" i="2" s="1"/>
  <c r="S336" i="2"/>
  <c r="T336" i="2" s="1"/>
  <c r="S335" i="2"/>
  <c r="T335" i="2" s="1"/>
  <c r="S334" i="2"/>
  <c r="T334" i="2" s="1"/>
  <c r="S333" i="2"/>
  <c r="T333" i="2" s="1"/>
  <c r="S332" i="2"/>
  <c r="T332" i="2" s="1"/>
  <c r="S331" i="2"/>
  <c r="T331" i="2" s="1"/>
  <c r="S330" i="2"/>
  <c r="T330" i="2" s="1"/>
  <c r="S329" i="2"/>
  <c r="T329" i="2" s="1"/>
  <c r="S328" i="2"/>
  <c r="T328" i="2" s="1"/>
  <c r="S327" i="2"/>
  <c r="T327" i="2" s="1"/>
  <c r="S326" i="2"/>
  <c r="T326" i="2" s="1"/>
  <c r="S325" i="2"/>
  <c r="T325" i="2" s="1"/>
  <c r="S324" i="2"/>
  <c r="T324" i="2" s="1"/>
  <c r="S323" i="2"/>
  <c r="T323" i="2" s="1"/>
  <c r="S322" i="2"/>
  <c r="T322" i="2" s="1"/>
  <c r="S321" i="2"/>
  <c r="T321" i="2" s="1"/>
  <c r="S320" i="2"/>
  <c r="T320" i="2" s="1"/>
  <c r="S319" i="2"/>
  <c r="T319" i="2" s="1"/>
  <c r="S318" i="2"/>
  <c r="T318" i="2" s="1"/>
  <c r="S317" i="2"/>
  <c r="T317" i="2" s="1"/>
  <c r="S316" i="2"/>
  <c r="T316" i="2" s="1"/>
  <c r="S315" i="2"/>
  <c r="T315" i="2" s="1"/>
  <c r="S314" i="2"/>
  <c r="T314" i="2" s="1"/>
  <c r="S313" i="2"/>
  <c r="T313" i="2" s="1"/>
  <c r="S312" i="2"/>
  <c r="T312" i="2" s="1"/>
  <c r="S311" i="2"/>
  <c r="T311" i="2" s="1"/>
  <c r="S310" i="2"/>
  <c r="T310" i="2" s="1"/>
  <c r="S309" i="2"/>
  <c r="T309" i="2" s="1"/>
  <c r="S308" i="2"/>
  <c r="T308" i="2" s="1"/>
  <c r="S307" i="2"/>
  <c r="T307" i="2" s="1"/>
  <c r="S306" i="2"/>
  <c r="T306" i="2" s="1"/>
  <c r="S305" i="2"/>
  <c r="T305" i="2" s="1"/>
  <c r="S304" i="2"/>
  <c r="T304" i="2" s="1"/>
  <c r="S303" i="2"/>
  <c r="T303" i="2" s="1"/>
  <c r="S302" i="2"/>
  <c r="T302" i="2" s="1"/>
  <c r="S301" i="2"/>
  <c r="T301" i="2" s="1"/>
  <c r="S300" i="2"/>
  <c r="T300" i="2" s="1"/>
  <c r="S299" i="2"/>
  <c r="T299" i="2" s="1"/>
  <c r="S298" i="2"/>
  <c r="T298" i="2" s="1"/>
  <c r="S297" i="2"/>
  <c r="T297" i="2" s="1"/>
  <c r="S296" i="2"/>
  <c r="T296" i="2" s="1"/>
  <c r="S295" i="2"/>
  <c r="T295" i="2" s="1"/>
  <c r="S294" i="2"/>
  <c r="T294" i="2" s="1"/>
  <c r="S293" i="2"/>
  <c r="T293" i="2" s="1"/>
  <c r="S292" i="2"/>
  <c r="T292" i="2" s="1"/>
  <c r="S291" i="2"/>
  <c r="T291" i="2" s="1"/>
  <c r="S290" i="2"/>
  <c r="T290" i="2" s="1"/>
  <c r="S289" i="2"/>
  <c r="T289" i="2" s="1"/>
  <c r="S288" i="2"/>
  <c r="T288" i="2" s="1"/>
  <c r="S287" i="2"/>
  <c r="T287" i="2" s="1"/>
  <c r="S286" i="2"/>
  <c r="T286" i="2" s="1"/>
  <c r="S285" i="2"/>
  <c r="T285" i="2" s="1"/>
  <c r="S284" i="2"/>
  <c r="T284" i="2" s="1"/>
  <c r="S283" i="2"/>
  <c r="T283" i="2" s="1"/>
  <c r="S282" i="2"/>
  <c r="T282" i="2" s="1"/>
  <c r="S281" i="2"/>
  <c r="T281" i="2" s="1"/>
  <c r="S280" i="2"/>
  <c r="T280" i="2" s="1"/>
  <c r="S279" i="2"/>
  <c r="T279" i="2" s="1"/>
  <c r="S278" i="2"/>
  <c r="T278" i="2" s="1"/>
  <c r="S277" i="2"/>
  <c r="T277" i="2" s="1"/>
  <c r="S276" i="2"/>
  <c r="T276" i="2" s="1"/>
  <c r="S275" i="2"/>
  <c r="T275" i="2" s="1"/>
  <c r="S274" i="2"/>
  <c r="T274" i="2" s="1"/>
  <c r="S273" i="2"/>
  <c r="T273" i="2" s="1"/>
  <c r="S272" i="2"/>
  <c r="T272" i="2" s="1"/>
  <c r="S271" i="2"/>
  <c r="T271" i="2" s="1"/>
  <c r="S270" i="2"/>
  <c r="T270" i="2" s="1"/>
  <c r="S269" i="2"/>
  <c r="T269" i="2" s="1"/>
  <c r="S268" i="2"/>
  <c r="T268" i="2" s="1"/>
  <c r="S267" i="2"/>
  <c r="T267" i="2" s="1"/>
  <c r="S266" i="2"/>
  <c r="T266" i="2" s="1"/>
  <c r="S265" i="2"/>
  <c r="T265" i="2" s="1"/>
  <c r="S264" i="2"/>
  <c r="T264" i="2" s="1"/>
  <c r="S263" i="2"/>
  <c r="T263" i="2" s="1"/>
  <c r="S262" i="2"/>
  <c r="T262" i="2" s="1"/>
  <c r="S261" i="2"/>
  <c r="T261" i="2" s="1"/>
  <c r="S260" i="2"/>
  <c r="T260" i="2" s="1"/>
  <c r="S259" i="2"/>
  <c r="T259" i="2" s="1"/>
  <c r="S258" i="2"/>
  <c r="T258" i="2" s="1"/>
  <c r="S257" i="2"/>
  <c r="T257" i="2" s="1"/>
  <c r="S256" i="2"/>
  <c r="T256" i="2" s="1"/>
  <c r="S255" i="2"/>
  <c r="T255" i="2" s="1"/>
  <c r="S254" i="2"/>
  <c r="T254" i="2" s="1"/>
  <c r="S253" i="2"/>
  <c r="T253" i="2" s="1"/>
  <c r="S252" i="2"/>
  <c r="T252" i="2" s="1"/>
  <c r="S251" i="2"/>
  <c r="T251" i="2" s="1"/>
  <c r="S250" i="2"/>
  <c r="T250" i="2" s="1"/>
  <c r="S249" i="2"/>
  <c r="T249" i="2" s="1"/>
  <c r="S248" i="2"/>
  <c r="T248" i="2" s="1"/>
  <c r="S247" i="2"/>
  <c r="T247" i="2" s="1"/>
  <c r="S246" i="2"/>
  <c r="T246" i="2" s="1"/>
  <c r="S245" i="2"/>
  <c r="T245" i="2" s="1"/>
  <c r="S244" i="2"/>
  <c r="T244" i="2" s="1"/>
  <c r="S243" i="2"/>
  <c r="T243" i="2" s="1"/>
  <c r="S242" i="2"/>
  <c r="T242" i="2" s="1"/>
  <c r="S241" i="2"/>
  <c r="T241" i="2" s="1"/>
  <c r="S240" i="2"/>
  <c r="T240" i="2" s="1"/>
  <c r="S239" i="2"/>
  <c r="T239" i="2" s="1"/>
  <c r="S238" i="2"/>
  <c r="T238" i="2" s="1"/>
  <c r="S237" i="2"/>
  <c r="T237" i="2" s="1"/>
  <c r="S236" i="2"/>
  <c r="T236" i="2" s="1"/>
  <c r="S235" i="2"/>
  <c r="T235" i="2" s="1"/>
  <c r="S234" i="2"/>
  <c r="T234" i="2" s="1"/>
  <c r="S233" i="2"/>
  <c r="T233" i="2" s="1"/>
  <c r="S232" i="2"/>
  <c r="T232" i="2" s="1"/>
  <c r="S231" i="2"/>
  <c r="T231" i="2" s="1"/>
  <c r="S230" i="2"/>
  <c r="T230" i="2" s="1"/>
  <c r="S229" i="2"/>
  <c r="T229" i="2" s="1"/>
  <c r="S228" i="2"/>
  <c r="T228" i="2" s="1"/>
  <c r="S227" i="2"/>
  <c r="T227" i="2" s="1"/>
  <c r="S226" i="2"/>
  <c r="T226" i="2" s="1"/>
  <c r="S225" i="2"/>
  <c r="T225" i="2" s="1"/>
  <c r="S224" i="2"/>
  <c r="T224" i="2" s="1"/>
  <c r="S223" i="2"/>
  <c r="T223" i="2" s="1"/>
  <c r="S222" i="2"/>
  <c r="T222" i="2" s="1"/>
  <c r="S221" i="2"/>
  <c r="T221" i="2" s="1"/>
  <c r="S220" i="2"/>
  <c r="T220" i="2" s="1"/>
  <c r="S219" i="2"/>
  <c r="T219" i="2" s="1"/>
  <c r="S218" i="2"/>
  <c r="T218" i="2" s="1"/>
  <c r="S217" i="2"/>
  <c r="T217" i="2" s="1"/>
  <c r="S216" i="2"/>
  <c r="T216" i="2" s="1"/>
  <c r="S215" i="2"/>
  <c r="T215" i="2" s="1"/>
  <c r="S214" i="2"/>
  <c r="T214" i="2" s="1"/>
  <c r="S213" i="2"/>
  <c r="T213" i="2" s="1"/>
  <c r="S212" i="2"/>
  <c r="T212" i="2" s="1"/>
  <c r="S211" i="2"/>
  <c r="T211" i="2" s="1"/>
  <c r="S210" i="2"/>
  <c r="T210" i="2" s="1"/>
  <c r="S209" i="2"/>
  <c r="T209" i="2" s="1"/>
  <c r="S208" i="2"/>
  <c r="T208" i="2" s="1"/>
  <c r="S207" i="2"/>
  <c r="T207" i="2" s="1"/>
  <c r="S206" i="2"/>
  <c r="T206" i="2" s="1"/>
  <c r="S205" i="2"/>
  <c r="T205" i="2" s="1"/>
  <c r="S204" i="2"/>
  <c r="T204" i="2" s="1"/>
  <c r="S203" i="2"/>
  <c r="T203" i="2" s="1"/>
  <c r="S202" i="2"/>
  <c r="T202" i="2" s="1"/>
  <c r="S201" i="2"/>
  <c r="T201" i="2" s="1"/>
  <c r="S200" i="2"/>
  <c r="T200" i="2" s="1"/>
  <c r="S199" i="2"/>
  <c r="T199" i="2" s="1"/>
  <c r="S198" i="2"/>
  <c r="T198" i="2" s="1"/>
  <c r="S197" i="2"/>
  <c r="T197" i="2" s="1"/>
  <c r="S196" i="2"/>
  <c r="T196" i="2" s="1"/>
  <c r="S195" i="2"/>
  <c r="T195" i="2" s="1"/>
  <c r="S194" i="2"/>
  <c r="T194" i="2" s="1"/>
  <c r="S193" i="2"/>
  <c r="T193" i="2" s="1"/>
  <c r="S192" i="2"/>
  <c r="T192" i="2" s="1"/>
  <c r="S191" i="2"/>
  <c r="T191" i="2" s="1"/>
  <c r="S190" i="2"/>
  <c r="T190" i="2" s="1"/>
  <c r="S189" i="2"/>
  <c r="T189" i="2" s="1"/>
  <c r="S188" i="2"/>
  <c r="T188" i="2" s="1"/>
  <c r="S187" i="2"/>
  <c r="T187" i="2" s="1"/>
  <c r="S186" i="2"/>
  <c r="T186" i="2" s="1"/>
  <c r="S185" i="2"/>
  <c r="T185" i="2" s="1"/>
  <c r="S184" i="2"/>
  <c r="T184" i="2" s="1"/>
  <c r="S183" i="2"/>
  <c r="T183" i="2" s="1"/>
  <c r="S182" i="2"/>
  <c r="T182" i="2" s="1"/>
  <c r="S181" i="2"/>
  <c r="T181" i="2" s="1"/>
  <c r="S180" i="2"/>
  <c r="T180" i="2" s="1"/>
  <c r="S179" i="2"/>
  <c r="T179" i="2" s="1"/>
  <c r="S178" i="2"/>
  <c r="T178" i="2" s="1"/>
  <c r="S177" i="2"/>
  <c r="T177" i="2" s="1"/>
  <c r="S176" i="2"/>
  <c r="T176" i="2" s="1"/>
  <c r="S175" i="2"/>
  <c r="T175" i="2" s="1"/>
  <c r="S174" i="2"/>
  <c r="T174" i="2" s="1"/>
  <c r="S173" i="2"/>
  <c r="T173" i="2" s="1"/>
  <c r="S172" i="2"/>
  <c r="T172" i="2" s="1"/>
  <c r="S171" i="2"/>
  <c r="T171" i="2" s="1"/>
  <c r="S170" i="2"/>
  <c r="T170" i="2" s="1"/>
  <c r="S169" i="2"/>
  <c r="T169" i="2" s="1"/>
  <c r="S168" i="2"/>
  <c r="T168" i="2" s="1"/>
  <c r="S167" i="2"/>
  <c r="T167" i="2" s="1"/>
  <c r="S166" i="2"/>
  <c r="T166" i="2" s="1"/>
  <c r="S165" i="2"/>
  <c r="T165" i="2" s="1"/>
  <c r="S164" i="2"/>
  <c r="T164" i="2" s="1"/>
  <c r="S163" i="2"/>
  <c r="T163" i="2" s="1"/>
  <c r="S162" i="2"/>
  <c r="T162" i="2" s="1"/>
  <c r="S161" i="2"/>
  <c r="T161" i="2" s="1"/>
  <c r="S160" i="2"/>
  <c r="T160" i="2" s="1"/>
  <c r="S159" i="2"/>
  <c r="T159" i="2" s="1"/>
  <c r="S158" i="2"/>
  <c r="T158" i="2" s="1"/>
  <c r="S157" i="2"/>
  <c r="T157" i="2" s="1"/>
  <c r="S156" i="2"/>
  <c r="T156" i="2" s="1"/>
  <c r="S155" i="2"/>
  <c r="T155" i="2" s="1"/>
  <c r="S154" i="2"/>
  <c r="T154" i="2" s="1"/>
  <c r="S153" i="2"/>
  <c r="T153" i="2" s="1"/>
  <c r="S152" i="2"/>
  <c r="T152" i="2" s="1"/>
  <c r="S151" i="2"/>
  <c r="T151" i="2" s="1"/>
  <c r="S150" i="2"/>
  <c r="T150" i="2" s="1"/>
  <c r="S149" i="2"/>
  <c r="T149" i="2" s="1"/>
  <c r="S148" i="2"/>
  <c r="T148" i="2" s="1"/>
  <c r="S147" i="2"/>
  <c r="T147" i="2" s="1"/>
  <c r="S146" i="2"/>
  <c r="T146" i="2" s="1"/>
  <c r="S145" i="2"/>
  <c r="T145" i="2" s="1"/>
  <c r="S144" i="2"/>
  <c r="T144" i="2" s="1"/>
  <c r="S143" i="2"/>
  <c r="T143" i="2" s="1"/>
  <c r="S142" i="2"/>
  <c r="T142" i="2" s="1"/>
  <c r="S141" i="2"/>
  <c r="T141" i="2" s="1"/>
  <c r="S140" i="2"/>
  <c r="T140" i="2" s="1"/>
  <c r="S139" i="2"/>
  <c r="T139" i="2" s="1"/>
  <c r="S138" i="2"/>
  <c r="T138" i="2" s="1"/>
  <c r="S137" i="2"/>
  <c r="T137" i="2" s="1"/>
  <c r="S136" i="2"/>
  <c r="T136" i="2" s="1"/>
  <c r="S135" i="2"/>
  <c r="T135" i="2" s="1"/>
  <c r="S134" i="2"/>
  <c r="T134" i="2" s="1"/>
  <c r="S133" i="2"/>
  <c r="T133" i="2" s="1"/>
  <c r="S132" i="2"/>
  <c r="T132" i="2" s="1"/>
  <c r="S131" i="2"/>
  <c r="T131" i="2" s="1"/>
  <c r="S130" i="2"/>
  <c r="T130" i="2" s="1"/>
  <c r="S129" i="2"/>
  <c r="T129" i="2" s="1"/>
  <c r="S128" i="2"/>
  <c r="T128" i="2" s="1"/>
  <c r="S127" i="2"/>
  <c r="T127" i="2" s="1"/>
  <c r="S126" i="2"/>
  <c r="T126" i="2" s="1"/>
  <c r="S125" i="2"/>
  <c r="T125" i="2" s="1"/>
  <c r="S124" i="2"/>
  <c r="T124" i="2" s="1"/>
  <c r="S123" i="2"/>
  <c r="T123" i="2" s="1"/>
  <c r="S122" i="2"/>
  <c r="T122" i="2" s="1"/>
  <c r="S121" i="2"/>
  <c r="T121" i="2" s="1"/>
  <c r="S120" i="2"/>
  <c r="T120" i="2" s="1"/>
  <c r="S119" i="2"/>
  <c r="T119" i="2" s="1"/>
  <c r="S118" i="2"/>
  <c r="T118" i="2" s="1"/>
  <c r="S117" i="2"/>
  <c r="T117" i="2" s="1"/>
  <c r="S116" i="2"/>
  <c r="T116" i="2" s="1"/>
  <c r="S115" i="2"/>
  <c r="T115" i="2" s="1"/>
  <c r="S114" i="2"/>
  <c r="T114" i="2" s="1"/>
  <c r="S113" i="2"/>
  <c r="T113" i="2" s="1"/>
  <c r="S112" i="2"/>
  <c r="T112" i="2" s="1"/>
  <c r="S111" i="2"/>
  <c r="T111" i="2" s="1"/>
  <c r="S110" i="2"/>
  <c r="T110" i="2" s="1"/>
  <c r="S109" i="2"/>
  <c r="T109" i="2" s="1"/>
  <c r="S108" i="2"/>
  <c r="T108" i="2" s="1"/>
  <c r="S107" i="2"/>
  <c r="T107" i="2" s="1"/>
  <c r="S106" i="2"/>
  <c r="T106" i="2" s="1"/>
  <c r="S105" i="2"/>
  <c r="T105" i="2" s="1"/>
  <c r="S104" i="2"/>
  <c r="T104" i="2" s="1"/>
  <c r="S103" i="2"/>
  <c r="T103" i="2" s="1"/>
  <c r="S102" i="2"/>
  <c r="T102" i="2" s="1"/>
  <c r="S101" i="2"/>
  <c r="T101" i="2" s="1"/>
  <c r="S100" i="2"/>
  <c r="T100" i="2" s="1"/>
  <c r="S99" i="2"/>
  <c r="T99" i="2" s="1"/>
  <c r="S98" i="2"/>
  <c r="T98" i="2" s="1"/>
  <c r="S97" i="2"/>
  <c r="T97" i="2" s="1"/>
  <c r="S96" i="2"/>
  <c r="T96" i="2" s="1"/>
  <c r="S95" i="2"/>
  <c r="T95" i="2" s="1"/>
  <c r="S94" i="2"/>
  <c r="T94" i="2" s="1"/>
  <c r="S93" i="2"/>
  <c r="T93" i="2" s="1"/>
  <c r="S92" i="2"/>
  <c r="T92" i="2" s="1"/>
  <c r="S91" i="2"/>
  <c r="T91" i="2" s="1"/>
  <c r="S90" i="2"/>
  <c r="T90" i="2" s="1"/>
  <c r="S89" i="2"/>
  <c r="T89" i="2" s="1"/>
  <c r="S88" i="2"/>
  <c r="T88" i="2" s="1"/>
  <c r="S87" i="2"/>
  <c r="T87" i="2" s="1"/>
  <c r="S86" i="2"/>
  <c r="T86" i="2" s="1"/>
  <c r="S85" i="2"/>
  <c r="T85" i="2" s="1"/>
  <c r="S84" i="2"/>
  <c r="T84" i="2" s="1"/>
  <c r="S83" i="2"/>
  <c r="T83" i="2" s="1"/>
  <c r="S82" i="2"/>
  <c r="T82" i="2" s="1"/>
  <c r="S81" i="2"/>
  <c r="T81" i="2" s="1"/>
  <c r="S80" i="2"/>
  <c r="T80" i="2" s="1"/>
  <c r="S79" i="2"/>
  <c r="T79" i="2" s="1"/>
  <c r="S78" i="2"/>
  <c r="T78" i="2" s="1"/>
  <c r="S77" i="2"/>
  <c r="S76" i="2"/>
  <c r="T76" i="2" s="1"/>
  <c r="S75" i="2"/>
  <c r="T75" i="2" s="1"/>
  <c r="S74" i="2"/>
  <c r="T74" i="2" s="1"/>
  <c r="S73" i="2"/>
  <c r="T73" i="2" s="1"/>
  <c r="S72" i="2"/>
  <c r="T72" i="2" s="1"/>
  <c r="S71" i="2"/>
  <c r="T71" i="2" s="1"/>
  <c r="S70" i="2"/>
  <c r="T70" i="2" s="1"/>
  <c r="S69" i="2"/>
  <c r="T69" i="2" s="1"/>
  <c r="S68" i="2"/>
  <c r="T68" i="2" s="1"/>
  <c r="S67" i="2"/>
  <c r="T67" i="2" s="1"/>
  <c r="S66" i="2"/>
  <c r="T66" i="2" s="1"/>
  <c r="S65" i="2"/>
  <c r="T65" i="2" s="1"/>
  <c r="S64" i="2"/>
  <c r="T64" i="2" s="1"/>
  <c r="S63" i="2"/>
  <c r="T63" i="2" s="1"/>
  <c r="S62" i="2"/>
  <c r="T62" i="2" s="1"/>
  <c r="S61" i="2"/>
  <c r="T61" i="2" s="1"/>
  <c r="S60" i="2"/>
  <c r="T60" i="2" s="1"/>
  <c r="S59" i="2"/>
  <c r="T59" i="2" s="1"/>
  <c r="S58" i="2"/>
  <c r="T58" i="2" s="1"/>
  <c r="S57" i="2"/>
  <c r="T57" i="2" s="1"/>
  <c r="S56" i="2"/>
  <c r="T56" i="2" s="1"/>
  <c r="S55" i="2"/>
  <c r="T55" i="2" s="1"/>
  <c r="S54" i="2"/>
  <c r="T54" i="2" s="1"/>
  <c r="S53" i="2"/>
  <c r="T53" i="2" s="1"/>
  <c r="S52" i="2"/>
  <c r="T52" i="2" s="1"/>
  <c r="S51" i="2"/>
  <c r="T51" i="2" s="1"/>
  <c r="S50" i="2"/>
  <c r="T50" i="2" s="1"/>
  <c r="S49" i="2"/>
  <c r="T49" i="2" s="1"/>
  <c r="S48" i="2"/>
  <c r="T48" i="2" s="1"/>
  <c r="S47" i="2"/>
  <c r="T47" i="2" s="1"/>
  <c r="S46" i="2"/>
  <c r="T46" i="2" s="1"/>
  <c r="S45" i="2"/>
  <c r="T45" i="2" s="1"/>
  <c r="S44" i="2"/>
  <c r="T44" i="2" s="1"/>
  <c r="S43" i="2"/>
  <c r="T43" i="2" s="1"/>
  <c r="S42" i="2"/>
  <c r="T42" i="2" s="1"/>
  <c r="S41" i="2"/>
  <c r="T41" i="2" s="1"/>
  <c r="S40" i="2"/>
  <c r="T40" i="2" s="1"/>
  <c r="S39" i="2"/>
  <c r="T39" i="2" s="1"/>
  <c r="S38" i="2"/>
  <c r="T38" i="2" s="1"/>
  <c r="S37" i="2"/>
  <c r="T37" i="2" s="1"/>
  <c r="S36" i="2"/>
  <c r="T36" i="2" s="1"/>
  <c r="S35" i="2"/>
  <c r="T35" i="2" s="1"/>
  <c r="S34" i="2"/>
  <c r="T34" i="2" s="1"/>
  <c r="S33" i="2"/>
  <c r="T33" i="2" s="1"/>
  <c r="S32" i="2"/>
  <c r="T32" i="2" s="1"/>
  <c r="S31" i="2"/>
  <c r="T31" i="2" s="1"/>
  <c r="S30" i="2"/>
  <c r="T30" i="2" s="1"/>
  <c r="S29" i="2"/>
  <c r="T29" i="2" s="1"/>
  <c r="S28" i="2"/>
  <c r="T28" i="2" s="1"/>
  <c r="S27" i="2"/>
  <c r="T27" i="2" s="1"/>
  <c r="S26" i="2"/>
  <c r="T26" i="2" s="1"/>
  <c r="S25" i="2"/>
  <c r="T25" i="2" s="1"/>
  <c r="S24" i="2"/>
  <c r="T24" i="2" s="1"/>
  <c r="S23" i="2"/>
  <c r="T23" i="2" s="1"/>
  <c r="S22" i="2"/>
  <c r="T22" i="2" s="1"/>
  <c r="S21" i="2"/>
  <c r="T21" i="2" s="1"/>
  <c r="S20" i="2"/>
  <c r="T20" i="2" s="1"/>
  <c r="S19" i="2"/>
  <c r="T19" i="2" s="1"/>
  <c r="S18" i="2"/>
  <c r="T18" i="2" s="1"/>
  <c r="S17" i="2"/>
  <c r="T17" i="2" s="1"/>
  <c r="S16" i="2"/>
  <c r="T16" i="2" s="1"/>
  <c r="S15" i="2"/>
  <c r="T15" i="2" s="1"/>
  <c r="S14" i="2"/>
  <c r="T14" i="2" s="1"/>
  <c r="S13" i="2"/>
  <c r="T13" i="2" s="1"/>
  <c r="S12" i="2"/>
  <c r="T12" i="2" s="1"/>
  <c r="S11" i="2"/>
  <c r="T11" i="2" s="1"/>
  <c r="S10" i="2"/>
  <c r="T10" i="2" s="1"/>
  <c r="S9" i="2"/>
  <c r="T9" i="2" s="1"/>
  <c r="S8" i="2"/>
  <c r="T8" i="2" s="1"/>
  <c r="S7" i="2"/>
  <c r="T7" i="2" s="1"/>
  <c r="S6" i="2"/>
  <c r="T6" i="2" s="1"/>
  <c r="S5" i="2"/>
  <c r="T5" i="2" s="1"/>
  <c r="S4" i="2"/>
  <c r="T4" i="2" s="1"/>
  <c r="S3" i="2"/>
  <c r="T3" i="2" s="1"/>
  <c r="S2" i="2"/>
  <c r="T2" i="2" s="1"/>
  <c r="T77" i="2" l="1"/>
  <c r="G3" i="3"/>
  <c r="B5" i="5"/>
  <c r="B2"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<sst xmlns="http://schemas.openxmlformats.org/spreadsheetml/2006/main" count="712" uniqueCount="355">
  <si>
    <t>BOQ Ref</t>
  </si>
  <si>
    <t>Description</t>
  </si>
  <si>
    <t>Make</t>
  </si>
  <si>
    <t>Model</t>
  </si>
  <si>
    <t>Unit</t>
  </si>
  <si>
    <t>BOQ Qty.</t>
  </si>
  <si>
    <t>Rate</t>
  </si>
  <si>
    <t>Amount</t>
  </si>
  <si>
    <t>Delivered Qty-2</t>
  </si>
  <si>
    <t>Delivered Qty-3</t>
  </si>
  <si>
    <t>Delivered Qty-4</t>
  </si>
  <si>
    <t>Delivered Qty-5</t>
  </si>
  <si>
    <t>Delivered Qty-6</t>
  </si>
  <si>
    <t>Delivered Qty-7</t>
  </si>
  <si>
    <t>Delivered Qty-8</t>
  </si>
  <si>
    <t>Delivered Qty-9</t>
  </si>
  <si>
    <t>Delivered Qty-10</t>
  </si>
  <si>
    <t>Total delivered Qty</t>
  </si>
  <si>
    <t>Balance to Deliver</t>
  </si>
  <si>
    <t>Supply, Installation, Testing and Commissioning of the following items of approved make inclusive of all materials, labour, tools, hardware, transportation, carriage, wastage etc. complete as per specifications, drawings and directions of EIC.</t>
  </si>
  <si>
    <t>"55""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CPU/16 GB Storage (8GB in 85""/98"")/ 8MS Response time/ Auto Source Switching &amp; Recovery/ Clean Cable Management with cable Guide feature/ EMC class B compliant/EPEAT Registered/ IP5X for Dust Proofing / HDR+
Approved make: Samsung/ Sony/ LG"</t>
  </si>
  <si>
    <t>Samsung</t>
  </si>
  <si>
    <t>QM55 C</t>
  </si>
  <si>
    <t>No.</t>
  </si>
  <si>
    <t>65"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 16 GB Storage (8GB in 85"/98")/ 8MS Response time/ Auto Source Switching &amp; Recovery/ Clean Cable Management with  cable Guide feature/ EMC class B compliant/EPEAT Registered/ IP5X for Dust Proofing / HDR+  
Approved make: Samsung/ Sony/ LG</t>
  </si>
  <si>
    <t>QM65 C</t>
  </si>
  <si>
    <t>65'' display wall mounted swing mount.  Approved make: B.tech/Chief</t>
  </si>
  <si>
    <t>B.tech/Chief</t>
  </si>
  <si>
    <t>75"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 16 GB Storage (8GB in 85"/98")/ 8MS Response time/ Auto Source Switching &amp; Recovery/ Clean Cable Management with  cable Guide feature/ EMC class B compliant/EPEAT Registered/ IP5X for Dust Proofing / HDR+ 
Approved make: Samsung/ Sony/ LG</t>
  </si>
  <si>
    <t>QM75 C</t>
  </si>
  <si>
    <t>75'' display wall mounted swing mount  Approved make: B.tech/Chief</t>
  </si>
  <si>
    <t>85"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 16 GB Storage (8GB in 85"/98")/ 8MS Response time/ Auto Source Switching &amp; Recovery/ Clean Cable Management with  cable Guide feature/ EMC class B compliant/EPEAT Registered/ IP5X for Dust Proofing / HDR+ 
Approved make: Samsung/ Sony/ LG</t>
  </si>
  <si>
    <t>QM85 C</t>
  </si>
  <si>
    <t>98"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 16 GB Storage (8GB in 85"/98")/ 8MS Response time/ Auto Source Switching &amp; Recovery/ Clean Cable Management with  cable Guide feature/ EMC class B compliant/EPEAT Registered/ IP5X for Dust Proofing / HDR+ 
Approved make: Samsung/ Sony/ LG</t>
  </si>
  <si>
    <t>QM98</t>
  </si>
  <si>
    <t>98'' display wall mounted swing mount Approved make: B.tech/Chief</t>
  </si>
  <si>
    <t>145" display, with an aspect ration of 16:9 &amp; a pixel pitch of 0.8mm (±5%), for indoor applications, with HDR/HDR10+ compatible &amp; also shold be able to support HDR for less than 4K resolution aswell.FipChip RGB LED, having &gt;1200nits of brightness with 20Bit internal processing depth; &gt;60Hz of Video Frame rate &amp; &gt;7680 Hz of visual refresh rate 24/7 duty cycle with &gt;130000 Hours of lifespan with Fanless Operation &amp; negligible acoustic noise.Display should come with a suitable wall mount from the same OEM, with quick swap feature with auto color calibration capability. (whole 1 spare cabinet to be supplied as a back-up) &amp; LED controller from the same OEM. Approved make: Samsung/ Christie/ Barco</t>
  </si>
  <si>
    <t>FlipChip RGB LED IW008A</t>
  </si>
  <si>
    <t>Two-Way 6.5" Coaxial Ceiling Loudspeaker with 165 mm (6.5 in) high output driver with polypropylene cone and butyl rubber surround, 19 mm (0.75 in) soft-dome liquid-cooled tweeter, Combined 70V, /100V and low impedance direct operation, 50 Watts at 8Ω nominal setting, 30W multi-tap at 70V/100V, 62 Hz – 20 kHz bandwidth with wide 110° coverage, High 91 dB sensitivity for high maximum SPL.  Approved make: Harman/ Martin Audio/ Crestron</t>
  </si>
  <si>
    <t>JBL</t>
  </si>
  <si>
    <t>Control16CT</t>
  </si>
  <si>
    <t>Mixer Amplifier -Output	120W @ 4/8 Ohms (1kHz Power, THD+N&lt;0.5%)
Frequency Response	+/- 1dB (@1W into 4 or 8 Ohms)
Load Impedance	Stable from 2 - 16 Ohms
Sensitivity	1.4Vrms
Signal to Noise Ratio	-weighted
Input Impedance	Balanced 20K Ohms/Unbalanced 10K Ohms
Max Input	+20dBu Typical 
Approved make: Harman/ Martin Audio/ Crestron</t>
  </si>
  <si>
    <t>CSMA2120</t>
  </si>
  <si>
    <t>Cable Management solution for conference tables or presentation, lecture, highly configurable for multiple connections.
1)  It should have neat, clean and Aesthetic design and no visible screws.
2) It should have lid which opens and hides so that all the cables are visible for use. Also lid should have pass-through which allows cables to be fully extended while the lid is closed.
3) It should have minimum  slots as per to the below connection requirement and backlit symbol icons for illuminate to identify connection types.
4) It should be supplied with 2x Universal Power, 1x USBC charging, 1x USBA charging, 5 Passthrough holes to pass AV Cables.
5) Any required accessories should be included in this only.
6) It Should comply with CE, UL, FCC. (Additional BIS to be shared if applicable) 
Approved make: AMX/ Crestron/ Lightware</t>
  </si>
  <si>
    <t>Crestron</t>
  </si>
  <si>
    <t>FT2-700-ELEC-PTL-AL</t>
  </si>
  <si>
    <t xml:space="preserve">Wireless Presentation System.  Simultaneous display of up to two presentation sources in a dual window, Supports multiple user connections simultaneously, 1 HDMI or better output; 1 or better USB Port; 1 or better Analog Stereo Audio output port; 1920 X 1080 or better output resolution along with ethernet port. It should support  Windows, Mac, iOS, and Android.  Approved make: Samsung/ Barco/ Christie                                                                                                                                                                       </t>
  </si>
  <si>
    <t>Barco</t>
  </si>
  <si>
    <t xml:space="preserve">Click Share CX50 </t>
  </si>
  <si>
    <t xml:space="preserve">HDMI® 2.1 Cable, 48 Gbps, 30 ft (9.1 m)-ertified Ultra High Speed HDMI® 2.1 cables, Supports up to 8K120 4:4:4 video with 48 Gbps bandwidth up to 30 ft (9.1 m) length, Gold-plated 19-pin Type-A connectors, Color Sampling	4:4:4, HDCP	HDCP 2.3,Bandwidth-48 Gbps, Resolutions-Without DSC: up to 8K @ 30Hz 4:4:4 or 4K @ 120Hz 4:4:4, With DSC: up to 8K @ 120Hz 4:4:4 
Approved make: AMX/ Crestron/ Lightware    </t>
  </si>
  <si>
    <t xml:space="preserve"> CBL-8K-HD-30</t>
  </si>
  <si>
    <t>Video conferencing 4K Codec package consisting of Studio E60 12x PTZ Camera, 2 Nos. Omnidirectional IP Microphones, 10.1”inch Touch Control, Cable Bundle. Device shall support IP and SIP. Video Protocols supports:- H.264 AVC , H.264 HP &amp; H.265, Video:-Input: 1x USB C, 1x HDMI, 2x USB,  Output: 2x HDMI 4K output , Touch Display Compatible, Resolution for People Video up to 4K at 30fps, Resolution for Content Video up to 4K at 15fps, Connect upto 3 IP based Microphones through LLN port, 1x 3.5 mm stereo line-in &amp; output , Built in Bluetooth 5.1 &amp; Wifi 802.11 a/b/g/n/ac/ax, Natively MS teams &amp; Zoom certified. 10.1”inch touch Controller with mute and unmute LED indicator, 4K camera with Group framing and Lecturer tracking, 12x Optical zoom, 71 degree Field of View, USB 3.0 and LAN output, Camera shall get connected to codec over the LAN on CAT 5/6 Cable. Supports Automatic gain control, Automatic noise suppression, Keyboard noise reduction, NoiseBlock AI based, Sound Reflection Reduction, Instant adaptation echo cancellation, Acoustic Fence, Audio error concealment. Codec should have inbuilt USB C port to use the VC system as an external camera and microphones when connected to a Laptop/PC over a single USB cable without using any external hardware, software, or converter components to connect to any Cloud Based VC platform Zoom, MS Teams, google meet,  BlueJeans, GoToMeeting, Chime, WebEx, StarLeaf. Bidder need to supply 10 M USB cable for USB pass thru. Support 128 &amp; 256 bit AES Encryption on IP and SIP. Active Optical USB 3.1 Cable (10M).  All the items shall be from same OEM. 
Approved make: AMX/ Crestron/ Poly</t>
  </si>
  <si>
    <t>Poly</t>
  </si>
  <si>
    <t>G62+TC10+Poly Studio E60</t>
  </si>
  <si>
    <t xml:space="preserve">12 port L2/L3 Gigabit POE+ Network Swicth. PoE Budget - 100W or better. Multicast support with IGMP V1/V2 or better, QoS support, IPV4/IPV6 Support, Switching Capacity in Gigabits per Second, 1 Gbps Non-blocking ports with standard accessories. 
Approved make: Netgear/ HP/ Cisco                                                                                                                  </t>
  </si>
  <si>
    <t>Netgear</t>
  </si>
  <si>
    <t>GSM4212P</t>
  </si>
  <si>
    <t>HDMI patchcode, Speaker, Audio, Cat6 Cable and connectors 
Approved make: Krystal/MX/liberty</t>
  </si>
  <si>
    <t>Krystal/MX/liberty</t>
  </si>
  <si>
    <t xml:space="preserve">Rack 9U/Credenza 
Approved make: Rittal/ Valrack/ Netrack                                                                                                                </t>
  </si>
  <si>
    <t>Valrack</t>
  </si>
  <si>
    <t xml:space="preserve">Ethernet Controller with 4 Buttons and Volume Control-Ethernet Wall Controller, Compatible, Gang Size PoE (Power Over Ethernet), Configured within Audio Architect via Drag-and-Drop Approved make: Biamp/ BSS/ Bose
</t>
  </si>
  <si>
    <t>BSS</t>
  </si>
  <si>
    <t>EC4BV+PS-POE</t>
  </si>
  <si>
    <t>4x4 DSP-Analog Inputs-4,Analog Outputs-4,Max Inputs/Outputs-fixed,Config	Software,Signal Processing (MHz)-400,SWL Digital Audio Bus-48 Approved make: Biamp/ BSS/ Bose</t>
  </si>
  <si>
    <t>BLU50</t>
  </si>
  <si>
    <t>AV over IP Encoder/decoder that transports 4096x2160 @ 60Hz 4:4:4 video over standard 1Gbps ethernet switch with following features. 
1) Having video 2 x HDMI Input while in encoder mode and Output 1 x RJ45 &amp; 1x SFP port output for connecting to decoder directly or to network switch for creating matrix switching &amp; 1x HDMI Loopout. 
2) Having video 1x RJ45 &amp; SFP port  Input while decoder mode, 2x HDMI local input and 1 x HDMI scaled output which also support widescreen format selection (zoom, stretch, maintain aspect-ratio, or 1:1), video wall processing up to 8 wide x 8 high, in decoder mode. 
3) Should support audio Formats Dolby Digital®, Dolby Digital Plus, Dolby TrueHD, Dolby Atmos, DTS®, DTS ES, DTS 96/24, DTS HD High Res, LPCM up to 8 channels.
4) Audio on 1x Balanced/unbalanced stereo line-level audio input/output.
5) Should have ethernet port supporting TCP/IP, UDP/IP, SFTP, DHCP, SSL, IPv4, IPv6.
6) Onboard control ports of minimum 1 x IR, 1 RS-232 for controlling third party devices. 
7) 2 x USB 2.0 port for USB Host &amp; Device conection. 
8) Should support Image preview on the control touch screen, which shows the current video being received by an input of a encoder or displayed by an output of a decoder.
9) Should support fixed, adaptive, variable bit rate to stream.
10) Should suppot AES67 Audio Embedding and De-embedding.
11) Should support enterprise-grade security including Active Directory® credential management, 802.1X authentication, AES-128 content encryption, PKI authentication, TLS, SSH, and HTTPS. And HDCP 2.2 compliant. 
12) In addition the offered product should be JITC, FIPS, NIAP compliant and designed to function in the most secure environments. 
13) Should comply to CE, IC, FCC. 
Approved make: AMX/ Crestron/ Lightware</t>
  </si>
  <si>
    <t xml:space="preserve">DM-NVX-351 </t>
  </si>
  <si>
    <t>AV Control processor for controlling audio, video, sensors, and security systems as per site requirement having following features.
1) Supplied controller should be able to run two different programs to control two rooms simultaneously (Additional Hardware can be added to meet the requirement)
2) Should have minimum 2 GB RAM, Flash 8 GB &amp; External Storage Supports up to 1 TB to load files and processing.
3) Should have minimum 1x Bidirectional RS-232/422/485 port, 2x Bidirectional RS-232 port, 8xIR/1-way serial, 8x relay supporting 1A, 30VAC/VDC, and 8x digital IO ports. 
4) Should support BACnet communication protocol from day one, for providing direct interface to third party building management systems over Ethernet, simplifying integration with HVAC, security, and other systems. (Additional hardware can be added to meet the requirement).
5) Control processor &amp; Touch Control interface should be from same OEM, and must not require any internet connectivity for configuration, programming and running. 
6) Should have ethernet port supporting 1000 Mbps, industry-standard TCP/IP, UDP/IP, SFTP, DHCP, SSL, FIPS 140-2 compliant encryption, SNMP, IPv4, IPv6 &amp; SMTP.
7) Should support industry standard minimum security features and protocols using Active Directory® credential management, 802.1X authentication, TLS, SSH, and HTTPS.
8) Should comply to CE, UL, FCC &amp; BIS.  
Approved make: AMX/ Crestron/ Lightware</t>
  </si>
  <si>
    <t>CP4</t>
  </si>
  <si>
    <t>2-Channel DALI Interface with 2 independent DALI Loops, Controls up to 128 DALI Ballasts, PoE communication for single wire installation, integrated DALI power supply Approved make: Crestron/ Havells/ Schnieder</t>
  </si>
  <si>
    <t>DIN-DALI-2</t>
  </si>
  <si>
    <t xml:space="preserve"> High Definition, 10" Touch Screen Controller with table top mount 
Approved make: Apple - (Table mount bracket Touch Controller)</t>
  </si>
  <si>
    <t>Apple + Table mount bracket Touch Controller</t>
  </si>
  <si>
    <t>Rack, HDMI, Speaker, Audio, Cat6 Cable and connectors  
Approved make: Krystal/MX/liberty</t>
  </si>
  <si>
    <t>7 in. Room Scheduling Touch Screen for Microsoft Teams® Softwarehaving features like Ethernet-100 Mbps, auto switching, auto negotiating, auto discovery, full/half duplex, TCP/IP, UDP/IP, CIP, DHCP, SSL, TLS, SSH, SFTP (SSH File Transfer Protocol), IEEE 802.1X, SNMP, IPv4 or IPv6, Active Directory® service authentication, HTTPS web browser setup, XiO Cloud® client, IEEE 802.3at compliant,USB-USB 2.0 host for light bar or hallway sign3,Display Type	TFT active matrix color LCD,Size	7 in. (178 mm) diagonal.
Aspect Ratio	16:10 WXGA,Resolution	1280 x 800 pixels
Brightness	350 nits (cd/m²),Contrast	850:1 Color Depth	24 bit, 16.7M colors,Illumination	Edgelit LED with auto brightness control,Viewing Angle	±80° horizontal, ±80° vertical,Touch Screen	Projected capacitive, 5-point multitouch capable + Multisurface Mount Kit. 
Approved make: Crestron/ AKG/ Panasonic</t>
  </si>
  <si>
    <t>TSS-770-T-B-S-LB KIT + TSW-770-MSMK-B-S</t>
  </si>
  <si>
    <t>Video conferencing 4K package all in one bar:- 4K Codec, built in 4K Camera, built in Microphones, 10.1”inch Touch Control, 1x Expansion Microphone, Cable Bundle. Video Protocols supports:- H.264 AVC , H.264 HP &amp; H.265, Video:-Input: 1x USB C, 1x HDMI, 2x USB,  Output: 2x HDMI, Touch Display Compatible, Resolution for People Video up to 4K at 30fps, Resolution for Content Video up to 4K at 15fps, Connect upto 1x expansion Microphones,  Built in Bluetooth 5.0 &amp; Wifi 802.11 a/b/g/n/ac, Natively MS teams &amp; Zoom certified. 10.1”inch touch Controller with mute and unmute LED indicator, 4K camera with Active speaker tracking, Group framing and Lecturer tracking, 5x digital zoom, 95 degree Field of View. Supports Automatic gain control, Automatic noise suppression, Keyboard noise reduction, NoiseBlock AI based, Sound Reflection Reduction, Instant adaptation echo cancellation, Acoustic Fence, Audio error concealment. Codec should have inbuilt USB C port to use the VC system as an external camera and microphones when connected to a Laptop/PC over a single USB cable without using any external hardware, software or converter components to connect to any Cloud Based VC platform Zoom, MS Teams, google meet,  BlueJeans, GoToMeeting, Chime, WebEx, StarLeaf. Bidder need to supply 10 M USB cable for USB pass thru.Active Optical USB 3.1 Cable (10M).  . Support 128 &amp; 256 bit AES Encryption on IP and SIP. All the items shall be from same OEM. 
Approved make: AMX/ Crestron/ Poly</t>
  </si>
  <si>
    <t>X52 + TC10+ 1 Expansion Mic</t>
  </si>
  <si>
    <t>4x4 DSP-Analog Inputs-4,Analog Outputs-4,Max Inputs/Outputs-fixed,Config	Software,Signal Processing (MHz)-400,SWL Digital Audio Bus-48 
Approved make: Biamp/ BSS/ Bose</t>
  </si>
  <si>
    <t>HDCP compliant retractable aluminum 21.5” Full HD monitor with adjustable inclination from 90 to 20°. Solid aluminum monitor black housing with 20 mm.of thickness featuring 2 mm. double sided antireflective black edged glass. Automated hatch ready for venneering with a capactive sensor. DVI-I and DVI-D inputs, 2/HDMI inputs(optional), RS-422 I/O, ISD (Interactive Setup Display), USB port for firmware upgrades , AH-AMMC (Auto-mechanical movement callibration), AHlink.  Approved Make: Arthur Holm</t>
  </si>
  <si>
    <t>Arthur Holm</t>
  </si>
  <si>
    <t>Four-channel, 300W @ 4Ω Analog Power Amplifier; 70V/100V-Output Channels	2
Frequency Response (8Ω, 20Hz - 20kHz) ±0.25dB
Total Harmonic Distortion (at full rated power, 20Hz - 20kHz) 0.35%
Damping Factor (20Hz to 100Hz)	&gt;1000
Load Impedance (Stereo/Dual Mode) 2Ω - 16Ω; 70Vrms and 100Vrms
Load Impedance Bridge Mono	4Ω - 16Ω; 140Vrms and 200Vrms
Cooling	Continuously variable speed forced air, front to back airflow
Maximum Fan Noise (re dBA SPL @ 1M)	45
Required AC Mains (±10%)	100V-240V ~ 50/60Hz
Power Connector	15A IEC 
Approved Make: Harman/ Martin Audio/ Crestron</t>
  </si>
  <si>
    <t>Crown</t>
  </si>
  <si>
    <t>DCi 4|300</t>
  </si>
  <si>
    <t>Gooseneck tabletop microphone with a cardioid polar pattern on a slim, 50 cm long gooseneck including  switch programmed for the following functions - push to talk, push to mute, push on/off, low cut on/off and all accessories to complete the installation. 
 Approved make: AKG/ Shure/ Sennheiser</t>
  </si>
  <si>
    <t>AKG</t>
  </si>
  <si>
    <t>CGN521 STS</t>
  </si>
  <si>
    <t>12x8 Conferencing Signal Processor with AEC,BLU link-12 Analog Inputs (with 48v Phantom Power per Channel),8 Analog Outputs,Configurable Signal Processing.  
Approved make: Biamp/ BSS/ Bose</t>
  </si>
  <si>
    <t>BLU101</t>
  </si>
  <si>
    <t xml:space="preserve">24 port L2/L3 Gigabit POE+ Network Swicth. PoE Budget - 100W or better. Multicast support with IGMP V1/V2 or better, QoS support, IPV4/IPV6 Support, Switching Capacity in Gigabits per Second, 1 Gbps Non-blocking ports with standard accessories.  
Approved Make:Netgear/ HP/ Cisco                                                                                                                       </t>
  </si>
  <si>
    <t>GSM4230P</t>
  </si>
  <si>
    <t>Rack 21U/Credenza  Approved Make:Rittal/ Valrack/ Netrack</t>
  </si>
  <si>
    <t>Two-Way Line Array Column Speaker-Drivers-Four 130 mm (5 in) LF drivers Sixteen 25 mm (1 in) HF drivers,Frequency Range (-10dB)	60 Hz – 20 kHz,Coverage Angle-Vertical: Switchable, Narrow Mode: 25° (±10°), Broad Mode: 45° (±10°), Horizontal: 150° (±20°),Sensitivity	Narrow: (speech mode) 98 dB (1 kHz - 8 kHz) (music mode) 93 dB (300 Hz - 18 kHz) Broad: (speech mode) 96 dB (1 kHz - 8 kHz) (music mode) 92 dB (300 Hz - 18 kHz)
Impedance	8 ohms,Power Rating	500 W (2000 W peak), 2 hrs 350 W (1400 W peak), 100 hrs,Maximum SPL (1m)	Narrow: (speech mode) 125 dB cont ave (131 peak) (music mode) 120 dB cont ave (126 peak) Broad: (speech mode) 123 dB cont ave (129 peak) (music mode) 119 dB cont ave (125 peak). 
 Approved Make: Harman/ Martin Audio/ Crestron</t>
  </si>
  <si>
    <t>CBT 70J-1</t>
  </si>
  <si>
    <t>Subwoofers on ground ,18-inch Subwoofer-Frequency Range (-10dB)	28 Hz – 1 kHz
Frequency Response (±3 dB)	35 Hz – 1 kHz
Transducer Power Rating (AES)	1200 W (4800 W peak), 2 hrs
System Power Rating	800 W (3200 W peak), 100 hrs
Maximum SPL (1m)	30 Hz – 100 Hz: 129 dB-SPL cont avg (135 dB peak)100 Hz – 500 Hz: 129 dB-SPL cont avg (135 dB peak)
System Sensitivity (1w @ 1m)	30 Hz – 100 Hz: 98 dB100 Hz – 500 Hz: 98 dB
Nominal Impedance	8 ohms.  
Approved Make: Harman/ Martin Audio/ Crestron</t>
  </si>
  <si>
    <t>ASB6118 Subwoofer</t>
  </si>
  <si>
    <t>Front fills Frequency Response (+/-3 dB) 100 Hz - 16 kHz, Frequency Range (-10 dB) 90 Hz - 16 kHz,Power handling 100W ,Sensitivity 90 dB , SPL 110 dB , Nominal impedance 8 ohms.  
Approved Make: Harman/ Martin Audio/ Crestron</t>
  </si>
  <si>
    <t>AC18/95 Front Fills Speaker</t>
  </si>
  <si>
    <t>12" Two-Way Stage Monitor and Loudspeaker System-Frequency Range (-10dB)	50 Hz – 20 kHz
Frequency Response (±3 dB)	62 Hz – 19 kHz
Coverage Pattern	90° x 50° nominal
System Sensitivity	95 dB SPL (1w@1m)
Power Rating, Pink Noise	300 W / 600 W / 1200 W(Continuous/Program/Peak)
Maximum SPL (1m)	126 dB SPL peak
Nominal Impedance	8 ohms. 
Approved Make: Harman/ Martin Audio/ Crestron</t>
  </si>
  <si>
    <t>PRX412M Stage Monitor</t>
  </si>
  <si>
    <t>Two-channel, 2400W @ 4Ω Analog Power Amplifier, 70V/100V-Output Channels	8
Frequency Response (8Ω, 20Hz - 20kHz)	±0.25dB
Total Harmonic Distortion (at full rated power, 20Hz - 20kHz)	0.35%
Damping Factor (20Hz to 100Hz)	&gt;1000
Load Impedance (Stereo/Dual Mode)	2Ω - 16Ω; 70Vrms and 100Vrms
Load Impedance Bridge Mono	4Ω - 16Ω; 140Vrms and 200Vrms
Cooling	Continuously variable speed forced air, front to back airflow
Maximum Fan Noise (re dBA SPL @ 1M)	47
Required AC Mains (±10%)	100V-240V ~ 50/60Hz.   
Approved Make: Harman/ Martin Audio/ Crestron</t>
  </si>
  <si>
    <t>DCi 2|2400N</t>
  </si>
  <si>
    <t>Eight-channel, 600W @ 4Ω Analog Power Amplifier, 70V/100V-Output Channels	8
Frequency Response (8Ω, 20Hz - 20kHz)	±0.25dB
Total Harmonic Distortion (at full rated power, 20Hz - 20kHz)	0.35%
Damping Factor (20Hz to 100Hz)	&gt;1000
Load Impedance (Stereo/Dual Mode)	2Ω - 16Ω; 70Vrms and 100Vrms
Load Impedance Bridge Mono	4Ω - 16Ω; 140Vrms and 200Vrms
Cooling	Continuously variable speed forced air, front to back airflow
Maximum Fan Noise (re dBA SPL @ 1M)	47
Required AC Mains (±10%)	100V-240V ~ 50/60Hz.   
Approved Make: Harman/ Martin Audio/ Crestron</t>
  </si>
  <si>
    <t>DCi 8|600N</t>
  </si>
  <si>
    <t>Ethernet Controller with 8 Buttons and Volume Control-Ethernet Wall Controller Compatible 
Dual-Gang Size
PoE (Power Over Ethernet)
Configured within Audio Architect via Drag-and-Drop
1 Programmable Push/Rotary Encoder
1 Programmable Encoder Ring (Multicolored)
8 Programmable Buttons (Multicolored)
2 Programmable 64x128 Pixel LCDs (Multicolored).  
Approved make: Biamp/ BSS/ Bose</t>
  </si>
  <si>
    <t>EC8BV+PS-POE</t>
  </si>
  <si>
    <t>Audio Mixer-High-Performance 16-input small format analogue mixers with onboard effects
Iconic Soundcraft® Ghost mic preamps with ultra-low noise performance
Renowned Soundcraft® Sapphyre British EQ with sweepable mid-bands per channel
Lexicon® Effects Engine featuring award-winning Reverbs, Delays, Choruses and Modulations
dbx® Limiters (High-ratio Compressors) on input channels
2-in/2-out USB audio playback and recording*
Switchable Hi-Z inputs for guitars, basses and other instruments
Hi-Pass Filters (low-cut) and 48V Phantom Power on all mic channels. 
Approved Make: Harman/ Martin Audio/ Crestron</t>
  </si>
  <si>
    <t>Soundcraft</t>
  </si>
  <si>
    <t>Signature 16</t>
  </si>
  <si>
    <t>High-grade wood /Metal Podium (as specified) of Dimensions: Height adjustable (40-50 inches), width: 20-24 inches  having features: integrated cable management, built in mic mount Finish: Matte/Glass, Customizable Logo panel option.</t>
  </si>
  <si>
    <t>Custom</t>
  </si>
  <si>
    <t>Dual Lens Auto Tracking Camera with 22X optical zoom and 120° panoramic FOV that provides Full HD 1080p video resolution, Video Outputs 3G-SDI, HDMI, IP, USB, Audio Outputs HDMI, IP, USB ,Network Video Compress Formats along with feature like
-	H.264, MJPEG, Camera PTZ Control Pan, Tilt, Zoom, Focus, Preset Control, Camera Control - Interfaces
-	RS-232 (DIN8)/IP.
 Approved Make: Aver/ Bosch/ Axis</t>
  </si>
  <si>
    <t>AVER</t>
  </si>
  <si>
    <t>PTC115+</t>
  </si>
  <si>
    <t>Shotgun microphone              Type: Condenser, Supercardiod/Hypercardoid           Frequency range:20Hz-20kHz, Sensitivity:-32 dbv/Pa               Signal to Noise ratio: 78 db ot better, Max SPL:137                 Power: Phantom Power(48V)        Feature: Lightweight, low handling noise, built in RF interference protection                  Mounting: Compatible with boom poles and shock mounts for professional applications.  
Approved Make: AKG/ Shure/ Sennheiser</t>
  </si>
  <si>
    <t>Sennheiser</t>
  </si>
  <si>
    <t>MKH 416</t>
  </si>
  <si>
    <t xml:space="preserve">Wireless Lavalier Microphone System ,Wireless Microphone system with MHZ carrier frequency band ,
Up to 16 pre-programmed frequencies within the same frequency band ,Audio bandwidth 35 - 20,000 Hz 
THD at 1 kHz: &lt;0.3%  (Receiver) ,Signal-to-noise: 120 dB(A)  ( Receiver),Wideband FM Modulation 
Up to 48 Simultaneous channels ,Upto 14 hours operation with one single AA battery or better,Pilot Tone transmission to know the transmitter battery status,Receiver  should have microphone level and line level output ,Transmitter should have display to show the battery and LED to show the Muted /Unmuted status 
Sensitivity 6.3 dB V / -100 dBm, Should have Microprocessor-controlled diversity ,T.H.D.   0.7 % (Transmitter), Infrared programmable ,RF output power: 10 or 50 mW.  
Approved Make: AKG/ Shure/ Sennheiser
</t>
  </si>
  <si>
    <t xml:space="preserve">EW-D ME2 SET </t>
  </si>
  <si>
    <t xml:space="preserve">Wireless Handheld Microphone System,Wireless Microphone system with MHZ carrier frequency band , 
Up to 16 pre-programmed frequencies within the same frequency band, Audio bandwidth 35 - 20,000 Hz 
THD at 1 kHz: &lt;0.3%  (Receiver) , Signal-to-noise: 120 dB(A)  ( Receiver) ,Wideband FM Modulation 
Up to 48 Simultaneous channels ,Upto 14 hours operation with one single AA battery or better ,Pilot Tone transmission to know the transmitter battery status ,Receiver  should have microphone level and line level output ,Transmitter should have display to show the battery and LED to show the Muted /Unmuted status 
Sensitivity 6.3 dB V / -100 dBm ,Should have Microprocessor-controlled diversity ,T.H.D.   0.7 % (Transmitter), Infrared programmable , RF output power: 10 or 50 mW. 
Approved Make: AKG/ Shure/ Sennheiser
</t>
  </si>
  <si>
    <t>EW-D 835-S SET</t>
  </si>
  <si>
    <t xml:space="preserve"> 1:4 Antenna Splitter in the frequency range of 470 to 790 MHz 
Approved Make: AKG/ Shure/ Sennheiser</t>
  </si>
  <si>
    <t>EW-D ASA</t>
  </si>
  <si>
    <t>Omni Directional Antenna  UHF range between 470 to 790 MHz includes antenna amplifier, mounting kit 
Approved Make: AKG/ Shure/ Sennheiser</t>
  </si>
  <si>
    <t>A 1031-U</t>
  </si>
  <si>
    <t>32U Rack Approved Make:Rittal/ Valrack/ Netrack</t>
  </si>
  <si>
    <t>Subwoofer Frequency Response (±3 dB)1 50 Hz – 230 Hz, Long-term Power Handling2 200 W (800 W peak) Sensitivity (SPL / 1 W @ 1 m)3 Stereo, per channel: 76 dB-SPL Mono: 79 dB-SPL Maximum SPL @ 1 m4 Stereo, per channel: 96 dB-SPL (102 dB-SPL peak) 
Approved make: Harman/ Martin Audio/ Crestron</t>
  </si>
  <si>
    <t>Control 19CST</t>
  </si>
  <si>
    <t>12x8 Signal Processor with BLU link-12 Analog Inputs (with 48v Phantom Power per Channel),8 Analog Outputs,Configurable Signal Processing
Rich Palette of Processing and Logic Objects, 48 Channel, Low Latency, Fault Tolerant Digital Audio Bus, Clear Front Panel LED Indication, Bi-Directional Locate Functionality, 12 Control Inputs and 6 Logic Outputs for GPIO Integration. 
Approved make: Biamp/ BSS/ Bose</t>
  </si>
  <si>
    <t>BLU100</t>
  </si>
  <si>
    <t>Two-channel, 600W @ 4Ω Analog Power Amplifier; 70V/100V-Output Channels 	2
Frequency Response (8Ω, 20Hz - 20kHz)	±0.25dB
Total Harmonic Distortion (at full rated power, 20Hz - 20kHz)	0.35%
Damping Factor (20Hz to 100Hz)	&gt;1000
Load Impedance (Stereo/Dual Mode)	2Ω - 16Ω; 70Vrms and 100Vrms
Load Impedance Bridge Mono	4Ω - 16Ω; 140Vrms and 200Vrms
Cooling	Continuously variable speed forced air, front to back airflow
Maximum Fan Noise (re dBA SPL @ 1M)	45
Required AC Mains (±10%)	100V-240V ~ 50/60Hz
Power Connector	15A IEC.  
Approved make: Harman/ Martin Audio/ Crestron</t>
  </si>
  <si>
    <t>DCi 2|600</t>
  </si>
  <si>
    <t>Music streamer and multiroom player, You can choose between 3 different wireless systems; AirPlay 2, Google Cast or Audio Pro multiroom, Converts any audio gear into a multiroom device.
AirPlay 2, Google Cast and Audio Pro Multiroom system. 4 preset buttons.  
Approved Make: Audio Pro/ Sony/ crestron</t>
  </si>
  <si>
    <t>Audio Pro</t>
  </si>
  <si>
    <t>Link 2</t>
  </si>
  <si>
    <t>Desktop PC- i7 processor 16 GB RAM, 8 GB RAM with monitor.  Approved Make: Dell/HP</t>
  </si>
  <si>
    <t>HP/Dell</t>
  </si>
  <si>
    <t>Rack 18U  Approved Make:Rittal/ Valrack/ Netrack</t>
  </si>
  <si>
    <t>Motor for curtains with feature like 12x8 Signal Processor with BLU link-12 Analog Inputs (with 48v Phantom Power per Channel),8 Analog Outputs,Configurable Signal Processing Rich Palette of Processing and Logic Objects, 48 Channel, Low Latency, Fault Tolerant Digital Audio Bus, Clear Front Panel LED Indication, Bi-Directional Locate Functionality, 12 Control Inputs and 6 Logic Outputs for GPIO Integration.  Approved Make: Lutron/ Crestron/ Havells</t>
  </si>
  <si>
    <t>8-channel relay switching module designed for control of motorized curtains and automated shading systems. Features independent control of each channel, with robust relay contacts suitable for high inrush loads. Integrates seamlessly with smart home or building automation systems for efficient and centralized operation. Includes DIN rail mounting hardware for easy and flexible installation.  Approved Make: Lutron/ Crestron/ Havells</t>
  </si>
  <si>
    <t>DIN-8SW8-I</t>
  </si>
  <si>
    <t>HDMI Plate, HDMI Cable, Audio and speaker Cable with all accessories 
Approved Make: Krystal/MX/liberty</t>
  </si>
  <si>
    <t>HDMI Plate- 2nos, HDMI Cable, Audio and speaker Cable with all accessories 
Approved Make: Krystal/MX/liberty</t>
  </si>
  <si>
    <t>HDMI , HDMI Plate,Floor Box, Speaker, Audio, mic and CAT6 Cable 
Approved Make: Krystal/MX/liberty</t>
  </si>
  <si>
    <t>SITC of PIR motion sensor compatible with Dali light and controllers, including accessories for integration  Approved Make: Honeywell/Crestron/Havells</t>
  </si>
  <si>
    <t>Honeywell</t>
  </si>
  <si>
    <t>SITC of  6- Core Multimode OM4 50/125, Central Loose Tube Cables, High mechanical and rodent protection provided for Indoor/Outdoor – Corrugated Steel Tape Armor (CST) Cable (With Redundancy ). Should comply to detailed technical specs shared along.  Approved Make: Beldon, Sytimax, Panduit</t>
  </si>
  <si>
    <t>Belden</t>
  </si>
  <si>
    <t>GUCNE06/ NYLU54BA012BKAA/GOCNE06</t>
  </si>
  <si>
    <t>Mtr</t>
  </si>
  <si>
    <t>SITC of  12 Port 1U 19" Rack Mount Multimode Fully Loaded LIU, Should comply to detailed technical specs shared along.
Approved Make: Beldon, Sytimax, Panduit</t>
  </si>
  <si>
    <t>LF14LD12B</t>
  </si>
  <si>
    <t>SITC of  LC-LC LSZH Patch Cord Multimode, Duplex, 3 mtr.                                             
 Approved Make: Beldon, Sytimax, Panduit</t>
  </si>
  <si>
    <t>PF4LDLD003ML2XE</t>
  </si>
  <si>
    <t>SITC of 23 AWG Solid Bare Copper, Unshielded Twisted 4 Pair, Category 6A, confirming to TIA 568.2.D, Class EA - ISO/IEC 11801:2002. Should comply to detailed technical specs shared along with 23 AWG solid copper conductor (305Mtr box, Blue).                                        
Approved Make: Beldon, Sytimax, Panduit</t>
  </si>
  <si>
    <t xml:space="preserve"> 10GA24</t>
  </si>
  <si>
    <t>SITC of 24 Port 1RU Unloaded Straight Patch Panel 
- 19" rack mountable.
- Patch panels Ports should be individually replaceable &amp; Consistent port-to-port performance.Should comply to detailed technical specs shared along.                                        
Approved Make: Beldon, Sytimax, Panduit</t>
  </si>
  <si>
    <t>AP106502 + RVAMJKUBL-S1*24</t>
  </si>
  <si>
    <t>SITC of RJ 45 Cat6A UTP Field Mount Plug, TIA Category 6A, ISO Class E  (Reusable Connector) for CCTV &amp; WIFI. Should comply to detailed technical specs shared along.  Approved Make: Beldon, Sytimax, Panduit</t>
  </si>
  <si>
    <t>RVAFPUBK-S1</t>
  </si>
  <si>
    <t>SITC of CAT 6A Information Outlet- Modular Jacks which shall meet and exceed channel specification of ANSI/TIA/EIA-568-C.2 Category 6a and ISO/IEC 11801:2002/Amd 1:2002 Ed2 when used as a component in a properly installed UTP channel. Should comply to detailed technical specs shared along.  
Approved Make: Beldon, Sytimax, Panduit</t>
  </si>
  <si>
    <t>RVAMJKUBL-S1</t>
  </si>
  <si>
    <t>SITC of Single Port Face Plate- Fire -retardant Plastic UL-94 V0, ABS, White color, UK Style. Should comply to detailed technical specs shared along. 
Approved Make: Beldon, Sytimax, Panduit</t>
  </si>
  <si>
    <t>AX104441</t>
  </si>
  <si>
    <t>SITC of Dual Port Face Plate- Fire -retardant Plastic UL-94 V0, ABS, White color, UK Style. Should comply to detailed technical specs shared along. 
Approved Make: Beldon, Sytimax, Panduit</t>
  </si>
  <si>
    <t xml:space="preserve"> </t>
  </si>
  <si>
    <t>SITC of CAT 6A Modular Patch Cord shall meet and exceed channel specification of ANSI/TIA/EIA-568-B.2 Category 6a and ISO/IEC 11801 2nd edition (2002) &amp; Amendment 2 (2010) up to 500 MHz when used as a component in a properly installed UTP channel. 2mtr for Rack End Side. Should comply to detailed technical specs shared along. Approved Make: Beldon, Sytimax, Panduit</t>
  </si>
  <si>
    <t>CA24106002M</t>
  </si>
  <si>
    <t>SITC of CAT 6A Modular Patch Cord shall meet and exceed channel specification of ANSI/TIA/EIA-568-B.2 Category 6a and ISO/IEC 11801 2nd edition (2002) &amp; Amendment 2 (2010) up to 500 MHz when used as a component in a properly installed UTP channel. 1mtr for User End Side. Should comply to detailed technical specs shared along. 
Approved Make: Beldon, Sytimax, Panduit</t>
  </si>
  <si>
    <t>CA24106001M</t>
  </si>
  <si>
    <t>SITC of CAT 6A Modular Patch Cord shall meet and exceed channel specification of ANSI/TIA/EIA-568-B.2 Category 6a and ISO/IEC 11801 2nd edition (2002) &amp; Amendment 2 (2010) up to 500 MHz when used as a component in a properly installed UTP channel. 5mtr for Rack End Side. Should comply to detailed technical specs shared along.  
Approved Make: Beldon, Sytimax, Panduit</t>
  </si>
  <si>
    <t>CA24106005M</t>
  </si>
  <si>
    <t>SITC of 1U Horizontal Cable Manager, panel with metal grooves. 
 Approved Make: Beldon, Sytimax, Panduit</t>
  </si>
  <si>
    <t>AP900170</t>
  </si>
  <si>
    <t>SITC of 36U Network Rack (600x600mm) with all Acessoseris, 06 port 5/15A PDU. 
Approved Make: Rittal, Valrack, Netrack</t>
  </si>
  <si>
    <t>SITC of 42 U Network Rack (800x800mm) with all Acessoseris, 2x10/12-Port 5/15A Vertical Power Distribution Board.  Approved Make: Rittal, Valrack, Netrack</t>
  </si>
  <si>
    <t>SITC of 42 U Server Rack (800x1200mm) with all Acessoseris, 2x10/12-Port 5/15A Vertical Power Distribution Board.   Approved Make: Rittal, Valrack, Netrack</t>
  </si>
  <si>
    <t>Supply Installation Testing and Commissioning of  H.265 4MP IR Vandal Proof Dome N/W Camera, 2.8mm, 30M, Micro SD, DC12V/PoE, IP67/IK10, Basic IVA, complying to the tender specifications.  Approved Make: Tyco, Axis, Pelco</t>
  </si>
  <si>
    <t>TYCO</t>
  </si>
  <si>
    <t>ISE-V04F284-N + ISMNDCB01</t>
  </si>
  <si>
    <t>Supply Installation Testing and Commissioning of  H.265 5MP IR Varifocal Dome Camera, 2.8mm, 70M, Micro SD, DC12V/PoE, IP67/IK10, Basic IVA, complying to the tender specifications. Approved Make: Tyco, Axis, Pelco</t>
  </si>
  <si>
    <t>ISV-V05M024S-N + ISMNDCB01</t>
  </si>
  <si>
    <t>Supply, Installation, Testing, and Commissioning of H.265 32-Channel Network Video Recorder, 8MP recording, HDMI 4K, 4 SATA Bays, RAID 0/1/5/6/10, Dual Gigabit Ethernet, 2x USB 2.0, 1x USB 3.0, AC 100-240V, basic IVA features, (N+1) redundancy Complying with the tender specifications. Approved Make: Tyco, Axis, Pelco</t>
  </si>
  <si>
    <t>HRN320814SR</t>
  </si>
  <si>
    <t>Supply, Installation, Testing, and Commissioning of 10 TB HDD Approved Make: Segate, WD.</t>
  </si>
  <si>
    <t>Segate/ WD</t>
  </si>
  <si>
    <t>Supply, installation, testing &amp; commissioning of Client Workstation having Intel Core i7  orginal motherboard, 16 GB RAM, with latest OS and 1 TB Hard Disk. Approved Make: HP, Dell, Lenovo</t>
  </si>
  <si>
    <t>Supply, Installation, Testing &amp; Commissioning of 55" 4K Pro having Slim design, Dynamic Crystal Color, UHD upscaling, 24/7 operation, 500 nits brightness, HDMI, USB, Wi-Fi, built-in speakers, edge-lit LED, non-glare panel, Tizen OS, Samsung Workspace, PC-less conferencing, quad-core CPU, 16GB storage, 8ms response, auto source switching, cable management, EMC Class B, EPEAT, IP5X dustproof, HDR+. Approved Make: Samsung, Barco, Sony</t>
  </si>
  <si>
    <t>SITC of 36 U Rack (600x600mm) with all Acessoseris, 2x10/12-Port 5/15A Vertical Power Distribution Board. Approved Make: Rittal, Valrack, Netrack</t>
  </si>
  <si>
    <t>Supply, Installation, Testing &amp; Commissioning of 2-Reader IP Door Controller: Ethernet/IP-based, supports 2 readers, PoE/PoE+, fast enrollment, web configuration, and plug &amp; play. Functions as head controller (up to 31 units) or standalone. 128-bit AES encryption, 4 inputs/4 outputs, intrusion alarm integration, and compatible with major browsers (iOS/Android). Supports Wiegand, magnetic, and smart card readers; RS-485 expansion, 100,000-card offline capacity. Certified NIST, CE, FCC, UL 294, UL 1076. Complying the tender Specification.
Approved Make: Tyco, Bosch, lennel</t>
  </si>
  <si>
    <t>Tyco</t>
  </si>
  <si>
    <t>KT-1-M</t>
  </si>
  <si>
    <t>Supply, Installation, Testing and Commissioning of 3D Facial Recognition with Stereovision, 5” WVGA Touch Screen Display IP65 &amp; IK07, Support 10K users extendable upto 50K with license, Support multi authentication(3D face, QR code, Pin, Card), NIST evaluated 3D face capturing algorithm, Best in-class anti spoofing iBeta PAD Level , UL listed, Full GDPR compliant, Leveraging Doplar technology for all weather person detection. Complying the tender Specifications. Approved Make: Idemea, lennel, Bosch</t>
  </si>
  <si>
    <t>Idemea</t>
  </si>
  <si>
    <t>Visionpass-SP-MD</t>
  </si>
  <si>
    <t>Supply , Installation Testing &amp; Comissioning of 1 lanes swing type flap barrier, three lanes configuration with all Lane of Normal walkway width of 600 mm,  Swing type Flap Barrier as per lane configuration to be controlled by access control along External Push Button Control for controlling flap movements during panic , free pass, Locking of flap. Standard glass panel barrier fitted at the middle of the pedestal and its matching side glass panel, bring out the transparency of the equipment to match the aesthetic of its surrounding, SS-304 Grade housing, Standard glass/polycarbonate /acrylic leaves of 12 mm thick, Operating Voltage- 24Vdc, Opening/ Closing time- 0.8 sec( max) , Crossing Capacity- 25-30 persons/min. Ingress Protection IP 54.  Approved Make: Housys, kaba, Gunnebo</t>
  </si>
  <si>
    <t>Swingtile</t>
  </si>
  <si>
    <t>Supply, Installation, Testing and Commissioning of Emergency Door Release 
Approved Make: Godrej, Assa abloy</t>
  </si>
  <si>
    <t>Godrej</t>
  </si>
  <si>
    <t>Supply, Installation, Testing and Commissioning of EM Lock Single Leaf with Power Supply  Approved Make: Godrej, Assa abloy</t>
  </si>
  <si>
    <t>Supply, Installation, Testing and Commissioning of EM Lock Double Leaf with Power Supply.  Approved Make: Godrej, Assa abloy</t>
  </si>
  <si>
    <t>Supply, Installation, Testing and Commissioning of Magnetic Contact.  
Approved Make: Godrej, Assa abloy</t>
  </si>
  <si>
    <t>Supply, Installation, Testing and Commissioning of Proximity Cards.  
Approved Make: Tyco, Idemea, Lennel</t>
  </si>
  <si>
    <t>P10SHL</t>
  </si>
  <si>
    <t>Supply Installation Testing and Commissioning of the Access Control Software, Which Supports up to 50 EntraPass web/EntraPass go logins, one-time door unlock via EntraPass go Pass app (1 login standard). Integrates with MS Active Directory for user/cardholder sync, intrusion alarms, and video management. Features audit trail, redundant server/gateway, up to 10,000 readers and monitored points, 64 elevator floors per cab, unlimited operator passwords, and security levels. Compatible with Windows 11 Pro, Windows 10 Pro/Enterprise, Windows Server (2012 R2, 2016, 2019), 32/64-bit, and VMware v7+.  
Approved Make: Idemea, lennel, Bosch</t>
  </si>
  <si>
    <t>E-COR-V8-LIC</t>
  </si>
  <si>
    <t>SET</t>
  </si>
  <si>
    <t>Supply, Installation, Testing and Commissioning of 8 Core Cable 1.5 sq. mm, unarmoured cable.  Approved Make: Excel, Safex, Polycab</t>
  </si>
  <si>
    <t>Excel</t>
  </si>
  <si>
    <t>Meter</t>
  </si>
  <si>
    <t>Supply, Installation, Testing and Commissioning of 4 Core Cable 1.5 sq. mm, unarmoured cable. 
Approved Make: Excel, Safex, Polycab</t>
  </si>
  <si>
    <t>Supply, Installation, Testing and Commissioning of 2 Core Cable 1.5 sq. mm, unarmoured cable. 
Approved Make: Excel, Safex, Polycab</t>
  </si>
  <si>
    <t>10.9.1</t>
  </si>
  <si>
    <t>Supplying, installation, testing &amp; commissioning of 6 W ceiling speaker complete as required inclusive of all materials, labour, hardware, tools, tackles, carriage, wastage etc. as per drawings, specifications and directions of EIC.</t>
  </si>
  <si>
    <t>Bosch</t>
  </si>
  <si>
    <t>LC3 UM 06 IN</t>
  </si>
  <si>
    <t>10.9.2</t>
  </si>
  <si>
    <t>Supplying, installation, testing &amp; commissioning of ceiling/wall mounted loud speaker, 3/1.5 Watt in ABS enclosure complete as required inclusive of all materials, labour, hardware, tools, tackles, carriage, wastage etc. as per drawings, specifications and directions of EIC.</t>
  </si>
  <si>
    <t>LC3 UM 06 IN + round ABS enclosure</t>
  </si>
  <si>
    <t>10.9.3.1</t>
  </si>
  <si>
    <t>Supplying and drawing of cable Fire Retardant PVC insulated copper conductor cable in the existing surface / recessed steel conduit of following pairs, cores and size including connections and interconnections etc. as required inclusive of all materials, labour, hardware, tools, tackles, carriage, wastage etc. as per drawings, specifications and directions of EIC.
Speaker cable Two pair, 2-core, 1.5 sqmm</t>
  </si>
  <si>
    <t>Polycab</t>
  </si>
  <si>
    <t>10.9.4</t>
  </si>
  <si>
    <t>Supply, installation, testing and commissioning of  Booster Amplifier 240 Watt complete with connections, connecting wires etc. complete as required inclusive of all materials, labour, hardware, tools, tackles, carriage, wastage etc. as per drawings, specifications and directions of EIC.</t>
  </si>
  <si>
    <t>LBD 1935</t>
  </si>
  <si>
    <t>10.10.1</t>
  </si>
  <si>
    <t>Supplying, installation, testing and commissioning of micro processor based intelligent addressable main fire alarm panel, central processing unit with the following loop modules and capable of supporting not less than 240 devices (including detectors) and minimum 120 detectors per loop and loop length up to 2 km, network communication card, minimum 320 character graphics/ LCD display with touch screen or other keypad and minimum 4000 events history log in the non volatile memory (software), power supply unit (230 ± 5% V, 50 hz), 48 hrs back-up with 24 volt sealed maintenance free batteries with automatic charger. The panel shall have facility to connect printer to printout log and facility to have seamless integration with analog/digital voice evacuation system (which is part of the schedule of work under SH: PA System) and shall be complete with all accessories inclusive of all materials, labour, hardware, tools, tackles, carriage, wastage etc. as per drawings, specifications and directions of EIC. The panel shall be compatible for IBMS system with open protocol BACnet/ Modbus over IP complete as per specifications.
Two Loop Panel.</t>
  </si>
  <si>
    <t>Siemens</t>
  </si>
  <si>
    <t>Cereberus Pro Modular FACP</t>
  </si>
  <si>
    <t>10.10.2</t>
  </si>
  <si>
    <t>Supplying, installation, testing &amp; commissioning of central graphical fire alarm management system to centrally monitor and operate the fire alarm system complete as required inclusive of all materials, labour, hardware, tools, tackles, carriage, wastage etc. as per drawings, specifications and directions of EIC.</t>
  </si>
  <si>
    <t>Software</t>
  </si>
  <si>
    <t>10.10.3</t>
  </si>
  <si>
    <t>Supplying, installation, testing &amp; commissioning of repeater panel wih 320 character/ Touch screen LCD display with inbuilt reset, acknowledge and silence switches complete as required inclusive of all materials, labour, hardware, tools, tackles, carriage, wastage etc. as per drawings, specifications and directions of EIC.</t>
  </si>
  <si>
    <t>SSD-C</t>
  </si>
  <si>
    <t>10.10.4</t>
  </si>
  <si>
    <t xml:space="preserve">Supplying, installation, testing &amp; commissioning of intelligent analog addressable photothermal detector (smoke detector) complete with mounting base complete as required inclusive of all materials, labour, hardware, tools, tackles, carriage, wastage etc. as per drawings, specifications and directions of EIC. </t>
  </si>
  <si>
    <t>OP921+ DB11E</t>
  </si>
  <si>
    <t>Each</t>
  </si>
  <si>
    <t>10.10.5</t>
  </si>
  <si>
    <t xml:space="preserve">Supplying, installation, testing &amp; commissioning of intelligent analog addressable multi criteria detector complete with mounting base complete as required inclusive of all materials, labour, hardware, tools, tackles, carriage, wastage etc. as per drawings, specifications and directions of EIC. </t>
  </si>
  <si>
    <t>OH921+ DB11E</t>
  </si>
  <si>
    <t>10.10.6</t>
  </si>
  <si>
    <t>Supplying, installation, testing &amp; commissioning of response indicator on surface/recessed MS Box having two LED, metallic cover complete with all connections etc as required inclusive of all materials, labour, hardware, tools, tackles, carriage, wastage etc. as per drawings, specifications and directions of EIC.</t>
  </si>
  <si>
    <t>10.10.7</t>
  </si>
  <si>
    <t>Supplying, installation, testing &amp; commissioning of fault isolator complete with base as required inclusive of all materials, labour, hardware, tools, tackles, carriage, wastage etc. as per drawings, specifications and directions of EIC.</t>
  </si>
  <si>
    <t>10.10.8</t>
  </si>
  <si>
    <t>Supplying, installation, testing &amp; commissioning of addressable fire control module complete as required inclusive of all materials, labour, hardware, tools, tackles, carriage, wastage etc. as per drawings, specifications and directions of EIC.</t>
  </si>
  <si>
    <t>XTRI-R</t>
  </si>
  <si>
    <t>10.10.9</t>
  </si>
  <si>
    <t>Supplying, installing, testing and commissioning of addressable fire monitor module complete as required inclusive of all materials, labour, hardware, tools, tackles, carriage, wastage etc. as per drawings, specifications and directions of EIC. EN 54 or UL Listed with 3 years equipment replacement warranty conforming to IS 5051Part 2 (Sec 1 to 3) : 1982 Reed relays</t>
  </si>
  <si>
    <t>XTRI-S</t>
  </si>
  <si>
    <t>10.10.10</t>
  </si>
  <si>
    <t>Supplying and fixing 25 mm dia MS flexible pipe with PVC coating along with all ancillaries and accessories like coupler etc. as required inclusive of all materials, labour, hardware, tools, tackles, carriage, wastage etc. as per drawings, specifications and directions of EIC.</t>
  </si>
  <si>
    <t>10.10.11.1</t>
  </si>
  <si>
    <t>Supplying &amp; laying of 2x1.5 sqmm fire survival armoured cable, 600/1000V rated with annealed copper conductor having glass mica fire barrier tape covered by an extruded layer of Cross Linkable Ethylene Propylene Rubber (EPR) insulation &amp; LSZH inner bedding, steel wire armouring &amp; LSZH outer sheath complete as required inclusive of all materials, labour, hardware, tools, tackles, carriage, wastage etc. as per drawings, specifications and directions of EIC.
2 x 1.5 Sq. mm.</t>
  </si>
  <si>
    <t>10.10.12.1</t>
  </si>
  <si>
    <t xml:space="preserve">Supply and fixing of Photoluminiscent type Fire Exit Signages of following sizes inclusive of all materials, labour, hardware, tools, tackles, carriage, wastage etc. as per drawings, specifications and directions of EIC:
 4 x12 inches </t>
  </si>
  <si>
    <t>10.17.1</t>
  </si>
  <si>
    <t>Supplying, installation, testing and commissioning of Clean agent storage container, capacity 2.2LB/ 1 Kg Capacity, DLP system, complete with CE Approved cylinder filled agent, Automatic differnetial pressure valve, End of line adopter, Pressure Switch and all necessary, fitting, support, for given Panels complete as required inclusive of all materials, labour, hardware, tools, tackles, carriage, wastage etc. as per drawings, specifications and directions of EIC.</t>
  </si>
  <si>
    <t>10.17.2</t>
  </si>
  <si>
    <t>Supplying, installation, testing and commissioning  of  Polymer tube for automatic fire detection and suppression system made by special modified Polyamide (PA), Color Red, High grade quality, UV Stabilized, Inner diameter 4mm, Outer Diameter 6 MM, Melting Point approx. 220 degrees Celsius when heating up with 10 K/minute, Steady load tested upto max. 80° C. The lowest operating temperature is stipulated at minus 40°C. Service Pressure 20 Bar, Burst Pressure at 20 Deg C approx 120 Bars, Release Temperature : Rapid heat increase in temperature at 20 bars pressure approx 150 Deg to 180 Deg C (Without Flame) complete as required inclusive of all materials, labour, hardware, tools, tackles, carriage, wastage etc. as per drawings, specifications and directions of EIC.</t>
  </si>
  <si>
    <t>10.17.3</t>
  </si>
  <si>
    <t>Supplying, installation, testing and commissioning of Polymer tube for automatic fire detection and suppression system made by special modified Polyamide (PA), Color Red, High grade quality, UV Stabilized, Inner diameter 4mm, Outer Diameter 6 MM, Melting Point approx. 220 degrees Celsius when heating up with 10 K/minute, Steady load tested upto max. 80°C. The lowest operating temperature is stipulated at minus 40°C. Service Pressure 20 Bar, Burst Pressure at 20 Deg C approx 120 Bars, Release Temperature : Rapid heat increase in temperature at 20 bars pressure approx 150 Deg to 180 Deg C (Without Flame) End of Line adapter with Pressure gauge for Automatic fire suppression tube used for fitting at the end of the tube for pressurizing and re pressurizing the tube. Fitting made by brass (plated / unplated), Stainless steel, Elastomeric Sealings, Copper Nickle plated, Temperature range TS -20 Deg C till + 60 Deg C, Maximum working pressure 25 Bars, made as per PED Pressure  euipment Directives complete as required inclusive of all materials, labour, hardware, tools, tackles, carriage, wastage etc. as per drawings, specifications and directions of EIC.</t>
  </si>
  <si>
    <t>10.17.4</t>
  </si>
  <si>
    <t>Supplying, installation, testing and commissioning of "FET" Pressure Switch to monitor Pressure drop in the tube, switch point 5 Bars complete as required inclusive of all materials, labour, hardware, tools, tackles, carriage, wastage etc. as per drawings, specifications and directions of EIC.</t>
  </si>
  <si>
    <t>10.17.5</t>
  </si>
  <si>
    <t>Supplying, installation, testing and commissioning  of Master Control Unit for connecting each system with electronic hooters and productivity input to Scada /Fire Alarm system including all necessaries +electrical wiring to make each entire system functional.(Indeginous)  complete as required inclusive of all materials, labour, hardware, tools, tackles, carriage, wastage etc. as per drawings, specifications and directions of EIC.</t>
  </si>
  <si>
    <t>10.17.6</t>
  </si>
  <si>
    <t>Supplying, installation, testing &amp; commissioning of Hardware &amp; Electrical Items complete as required inclusive of all materials, labour, hardware, tools, tackles, carriage, wastage etc. as per drawings, specifications and directions of EIC.</t>
  </si>
  <si>
    <t>Lot</t>
  </si>
  <si>
    <t xml:space="preserve">Note:- Public Address System has to be integrated with the existing PA System &amp; Fire Alarm System of the building. </t>
  </si>
  <si>
    <t xml:space="preserve">Note:- Fire Alarm System has to be integrated with the existing Fire Alarm System of the building. </t>
  </si>
  <si>
    <t>Sl No</t>
  </si>
  <si>
    <t>Material Description</t>
  </si>
  <si>
    <t>Quantity</t>
  </si>
  <si>
    <t>Total BOQ Qty</t>
  </si>
  <si>
    <t>Total Count of Materails</t>
  </si>
  <si>
    <t>Count of Materails to be delivered</t>
  </si>
  <si>
    <t>Delivered Qty-1
DC/PO#</t>
  </si>
  <si>
    <t>Qty</t>
  </si>
  <si>
    <t>GSTIN NO.:07AAACZ5805D1ZI</t>
  </si>
  <si>
    <t>Delivery of goods Under SITC</t>
  </si>
  <si>
    <t>Mode of Dispatch</t>
  </si>
  <si>
    <t>( By Courier)</t>
  </si>
  <si>
    <t>HS Code</t>
  </si>
  <si>
    <t>Total</t>
  </si>
  <si>
    <t>Kindly acknowledge receipt</t>
  </si>
  <si>
    <t>For Zerone Technologies Pvt. Ltd.</t>
  </si>
  <si>
    <t>Customer</t>
  </si>
  <si>
    <t>Authorized Signatory</t>
  </si>
  <si>
    <t>Sr. No</t>
  </si>
  <si>
    <t xml:space="preserve">Dated: </t>
  </si>
  <si>
    <t xml:space="preserve">Delivery Note No. </t>
  </si>
  <si>
    <t>Consignee</t>
  </si>
  <si>
    <t>TO,  PETRONET LNG LIMITED NBCC,
WORLD TRADE CENTER,
NAUROJI NAGAR TOWER I (4TH, 5TH, 6TH FLOOR),
DELHI DL 110029 INDIA State : Delhi
GST No.:-07AAACG1395D1ZW</t>
  </si>
  <si>
    <t>Approx Value</t>
  </si>
  <si>
    <t>Tax @18%</t>
  </si>
  <si>
    <t>Contact Person</t>
  </si>
  <si>
    <t>BOQ Qty for ref</t>
  </si>
  <si>
    <t>Musthafa; Mob: 84473 70873</t>
  </si>
  <si>
    <t>Bill To.</t>
  </si>
  <si>
    <t>Zerone Technologies Pvt Ltd</t>
  </si>
  <si>
    <t>GST Number</t>
  </si>
  <si>
    <t>Supplier :</t>
  </si>
  <si>
    <t>DigiMRO Distribution (India) Pvt. Ltd.</t>
  </si>
  <si>
    <t>ADD :</t>
  </si>
  <si>
    <t>Date:-</t>
  </si>
  <si>
    <t>GSTIN:</t>
  </si>
  <si>
    <t>07AAJCD4178J1ZA</t>
  </si>
  <si>
    <t xml:space="preserve">Ship To.  </t>
  </si>
  <si>
    <t>ATTN:</t>
  </si>
  <si>
    <t>Mr. Alok- 9999571704</t>
  </si>
  <si>
    <t>FROM :</t>
  </si>
  <si>
    <t>Mr. Anuj 91-9560114107</t>
  </si>
  <si>
    <t xml:space="preserve">  We are pleased to release our Purchase Order for the following items.</t>
  </si>
  <si>
    <t>PURCHASE ORDER</t>
  </si>
  <si>
    <t>Unit Inr</t>
  </si>
  <si>
    <t>TOTAL</t>
  </si>
  <si>
    <t>REMARKS :</t>
  </si>
  <si>
    <t>• Factory Test certificates are required with each product with Serial Number. (MANDATORY)</t>
  </si>
  <si>
    <t>Discount</t>
  </si>
  <si>
    <t xml:space="preserve">• Product Serial Number Need to Mention in Invoice / Packing List / Delivery Challan                                 </t>
  </si>
  <si>
    <t>Price after Discount</t>
  </si>
  <si>
    <t>• BIS / WPC is Applicable than Supplier will Provide the Appropriate Documents</t>
  </si>
  <si>
    <t>TAX GST</t>
  </si>
  <si>
    <t>INR</t>
  </si>
  <si>
    <t>WARRANTY : As per standard OEM</t>
  </si>
  <si>
    <t>PAYMENT  :  55 days PDC  from date of delivery</t>
  </si>
  <si>
    <t>Delivery:  Immediate</t>
  </si>
  <si>
    <t>Price shall remain valid for complete duration of project.</t>
  </si>
  <si>
    <t>GST :- Inclusive</t>
  </si>
  <si>
    <t>Test Certificate required along with material</t>
  </si>
  <si>
    <t>Prepared By</t>
  </si>
  <si>
    <t>Authorised By</t>
  </si>
  <si>
    <t>Approved By</t>
  </si>
  <si>
    <t>Sellers Acceptance</t>
  </si>
  <si>
    <t>TOTAL:</t>
  </si>
  <si>
    <t xml:space="preserve">A91, Nagpal Tower                                                          </t>
  </si>
  <si>
    <t>Okhla Industrial Area Phase II,</t>
  </si>
  <si>
    <t xml:space="preserve">New Delhi 110020  </t>
  </si>
  <si>
    <t>TERMS AND CONDITIONS</t>
  </si>
  <si>
    <t>Model number</t>
  </si>
  <si>
    <t>UOM</t>
  </si>
  <si>
    <t>R/O No-350,Rajpur Khurd Extension,</t>
  </si>
  <si>
    <t>Near Zara Farm House Chhatapur,New Delhi -110074</t>
  </si>
  <si>
    <t>Near Zara Farm House Chhatapur, New Delhi -110074</t>
  </si>
  <si>
    <t xml:space="preserve"> ZTPL-DL/2K25-2K26 - 098</t>
  </si>
  <si>
    <t>PO.:-</t>
  </si>
  <si>
    <t xml:space="preserve"> PTR</t>
  </si>
  <si>
    <t>Other Ref :</t>
  </si>
  <si>
    <t xml:space="preserve">Mr. Kamal- 9643943352 </t>
  </si>
  <si>
    <t>Max Qty as per BOQ for refernce</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</si>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</sst>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64" formatCode="_ * #,##0_ ;_ * \-#,##0_ ;_ * &quot;-&quot;??_ ;_ @_ "/>
    <numFmt numFmtId="165" formatCode="&quot;₹&quot;\ #,##0.00"/>
    <numFmt numFmtId="166" formatCode="[$-F800]dddd\,\ mmmm\ dd\,\ yyyy"/>
    <numFmt numFmtId="167" formatCode="_ [$₹-4009]\ * #,##0.00_ ;_ [$₹-4009]\ * \-#,##0.00_ ;_ [$₹-4009]\ * &quot;-&quot;??_ ;_ @_ "/>
    <numFmt numFmtId="168" formatCode="_-* #,##0.00_-;\-* #,##0.00_-;_-* &quot;-&quot;??_-;_-@_-"/>
    <numFmt numFmtId="169" formatCode="#,##0_ "/>
  </numFmts>
  <fonts count="17" x14ac:knownFonts="1">
    <font>
      <sz val="11"/>
      <color theme="1"/>
      <name val="Calibri"/>
      <family val="2"/>
      <scheme val="minor"/>
    </font>
    <font>
      <sz val="11"/>
      <color theme="1"/>
      <name val="Calibri"/>
      <family val="2"/>
      <scheme val="minor"/>
    </font>
    <font>
      <b/>
      <sz val="11"/>
      <name val="Calibri"/>
      <family val="2"/>
    </font>
    <font>
      <b/>
      <sz val="11"/>
      <color theme="1"/>
      <name val="Calibri"/>
      <family val="2"/>
      <scheme val="minor"/>
    </font>
    <font>
      <sz val="9"/>
      <color theme="1"/>
      <name val="Calibri"/>
      <family val="2"/>
      <scheme val="minor"/>
    </font>
    <font>
      <b/>
      <sz val="10"/>
      <color theme="1"/>
      <name val="Calibri"/>
      <family val="2"/>
      <scheme val="minor"/>
    </font>
    <font>
      <sz val="10"/>
      <color theme="1"/>
      <name val="Calibri"/>
      <family val="2"/>
      <scheme val="minor"/>
    </font>
    <font>
      <b/>
      <sz val="10"/>
      <name val="Calibri"/>
      <family val="2"/>
    </font>
    <font>
      <sz val="12"/>
      <name val="新細明體"/>
      <charset val="136"/>
    </font>
    <font>
      <b/>
      <sz val="10"/>
      <name val="Calibri"/>
      <family val="2"/>
      <scheme val="minor"/>
    </font>
    <font>
      <sz val="9"/>
      <name val="Calibri"/>
      <family val="2"/>
      <scheme val="minor"/>
    </font>
    <font>
      <sz val="10"/>
      <name val="Calibri"/>
      <family val="2"/>
      <scheme val="minor"/>
    </font>
    <font>
      <b/>
      <sz val="9"/>
      <name val="Calibri"/>
      <family val="2"/>
      <scheme val="minor"/>
    </font>
    <font>
      <b/>
      <sz val="9"/>
      <color rgb="FFFF0000"/>
      <name val="Calibri"/>
      <family val="2"/>
      <scheme val="minor"/>
    </font>
    <font>
      <b/>
      <sz val="9"/>
      <color indexed="18"/>
      <name val="Calibri"/>
      <family val="2"/>
      <scheme val="minor"/>
    </font>
    <font>
      <b/>
      <sz val="10"/>
      <color indexed="9"/>
      <name val="Calibri"/>
      <family val="2"/>
      <scheme val="minor"/>
    </font>
    <font>
      <sz val="8"/>
      <name val="Calibri"/>
      <family val="2"/>
      <scheme val="minor"/>
    </font>
  </fonts>
  <fills count="13">
    <fill>
      <patternFill patternType="none"/>
    </fill>
    <fill>
      <patternFill patternType="gray125"/>
    </fill>
    <fill>
      <patternFill patternType="solid">
        <fgColor rgb="FFCFE2F3"/>
      </patternFill>
    </fill>
    <fill>
      <patternFill patternType="solid">
        <fgColor rgb="FF92D050"/>
        <bgColor indexed="64"/>
      </patternFill>
    </fill>
    <fill>
      <patternFill patternType="solid">
        <fgColor rgb="FFFE7C66"/>
        <bgColor indexed="64"/>
      </patternFill>
    </fill>
    <fill>
      <patternFill patternType="solid">
        <fgColor theme="5" tint="0.79998168889431442"/>
        <bgColor indexed="64"/>
      </patternFill>
    </fill>
    <fill>
      <patternFill patternType="solid">
        <fgColor rgb="FFFFF2CC"/>
      </patternFill>
    </fill>
    <fill>
      <patternFill patternType="solid">
        <fgColor indexed="32"/>
        <bgColor indexed="32"/>
      </patternFill>
    </fill>
    <fill>
      <patternFill patternType="solid">
        <fgColor indexed="9"/>
        <bgColor indexed="64"/>
      </patternFill>
    </fill>
    <fill>
      <patternFill patternType="solid">
        <fgColor indexed="56"/>
        <bgColor indexed="64"/>
      </patternFill>
    </fill>
    <fill>
      <patternFill patternType="solid">
        <fgColor indexed="22"/>
        <bgColor indexed="64"/>
      </patternFill>
    </fill>
    <fill>
      <patternFill patternType="solid">
        <fgColor theme="0"/>
        <bgColor indexed="64"/>
      </patternFill>
    </fill>
    <fill>
      <patternFill patternType="solid">
        <fgColor rgb="FFFFFF00"/>
        <bgColor indexed="64"/>
      </patternFill>
    </fill>
  </fills>
  <borders count="50">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style="medium">
        <color indexed="64"/>
      </left>
      <right style="thin">
        <color auto="1"/>
      </right>
      <top/>
      <bottom style="thin">
        <color auto="1"/>
      </bottom>
      <diagonal/>
    </border>
    <border>
      <left style="thin">
        <color indexed="64"/>
      </left>
      <right style="thin">
        <color indexed="64"/>
      </right>
      <top/>
      <bottom/>
      <diagonal/>
    </border>
    <border>
      <left style="medium">
        <color indexed="64"/>
      </left>
      <right style="thin">
        <color auto="1"/>
      </right>
      <top style="medium">
        <color indexed="64"/>
      </top>
      <bottom/>
      <diagonal/>
    </border>
    <border>
      <left/>
      <right style="thin">
        <color indexed="64"/>
      </right>
      <top style="medium">
        <color indexed="64"/>
      </top>
      <bottom/>
      <diagonal/>
    </border>
    <border>
      <left style="thin">
        <color auto="1"/>
      </left>
      <right style="thin">
        <color auto="1"/>
      </right>
      <top style="medium">
        <color indexed="64"/>
      </top>
      <bottom/>
      <diagonal/>
    </border>
    <border>
      <left style="medium">
        <color indexed="64"/>
      </left>
      <right style="thin">
        <color indexed="64"/>
      </right>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8" fillId="7" borderId="0"/>
    <xf numFmtId="0" fontId="1" fillId="0" borderId="0"/>
    <xf numFmtId="168" fontId="8" fillId="0" borderId="0" applyFont="0" applyFill="0" applyBorder="0" applyAlignment="0" applyProtection="0"/>
  </cellStyleXfs>
  <cellXfs count="238">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2" fillId="2" borderId="1"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164" fontId="0" fillId="0" borderId="0" xfId="1" applyNumberFormat="1" applyFont="1" applyAlignment="1">
      <alignment horizontal="center" vertical="center"/>
    </xf>
    <xf numFmtId="0" fontId="2" fillId="5" borderId="2"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0" fillId="0" borderId="0" xfId="0" applyAlignment="1">
      <alignment horizontal="center" vertical="center" wrapText="1"/>
    </xf>
    <xf numFmtId="43" fontId="2" fillId="2" borderId="1" xfId="1" applyFont="1" applyFill="1" applyBorder="1" applyAlignment="1">
      <alignment horizontal="center" vertical="center" wrapText="1"/>
    </xf>
    <xf numFmtId="43" fontId="0" fillId="0" borderId="0" xfId="1" applyFont="1" applyAlignment="1">
      <alignment vertical="center" wrapText="1"/>
    </xf>
    <xf numFmtId="0" fontId="0" fillId="0" borderId="0" xfId="0" applyAlignment="1">
      <alignment horizontal="center"/>
    </xf>
    <xf numFmtId="0" fontId="0" fillId="0" borderId="0" xfId="0" applyAlignment="1">
      <alignment horizontal="center" wrapText="1"/>
    </xf>
    <xf numFmtId="0" fontId="4" fillId="0" borderId="0" xfId="0" applyFont="1" applyAlignment="1">
      <alignment vertical="center"/>
    </xf>
    <xf numFmtId="0" fontId="4" fillId="0" borderId="0" xfId="0" applyFont="1" applyAlignment="1">
      <alignment horizontal="center" vertical="center"/>
    </xf>
    <xf numFmtId="0" fontId="5" fillId="0" borderId="0" xfId="0" applyFont="1" applyAlignment="1">
      <alignment vertical="center"/>
    </xf>
    <xf numFmtId="0" fontId="6" fillId="0" borderId="0" xfId="0" applyFont="1" applyAlignment="1">
      <alignment vertical="center"/>
    </xf>
    <xf numFmtId="0" fontId="4" fillId="0" borderId="1" xfId="0" applyFont="1" applyBorder="1" applyAlignment="1">
      <alignment horizontal="center" vertical="center"/>
    </xf>
    <xf numFmtId="0" fontId="4" fillId="0" borderId="8" xfId="0" applyFont="1" applyBorder="1" applyAlignment="1">
      <alignment vertical="center"/>
    </xf>
    <xf numFmtId="0" fontId="4" fillId="0" borderId="12" xfId="0" applyFont="1" applyBorder="1" applyAlignment="1">
      <alignment horizontal="left" vertical="center"/>
    </xf>
    <xf numFmtId="0" fontId="4" fillId="0" borderId="13" xfId="0" applyFont="1" applyBorder="1" applyAlignment="1">
      <alignment horizontal="left" vertical="center"/>
    </xf>
    <xf numFmtId="0" fontId="4" fillId="0" borderId="13" xfId="0" applyFont="1" applyBorder="1" applyAlignment="1">
      <alignment horizontal="center" vertical="center"/>
    </xf>
    <xf numFmtId="0" fontId="5" fillId="0" borderId="14" xfId="0" applyFont="1" applyBorder="1" applyAlignment="1">
      <alignment horizontal="right" vertical="center"/>
    </xf>
    <xf numFmtId="0" fontId="3" fillId="0" borderId="15" xfId="0" applyFont="1" applyBorder="1" applyAlignment="1">
      <alignment horizontal="left" vertical="center"/>
    </xf>
    <xf numFmtId="0" fontId="3" fillId="0" borderId="17" xfId="0" applyFont="1" applyBorder="1" applyAlignment="1">
      <alignment horizontal="left" vertical="center"/>
    </xf>
    <xf numFmtId="0" fontId="4" fillId="0" borderId="3" xfId="0" applyFont="1" applyBorder="1" applyAlignment="1">
      <alignment horizontal="left" vertical="center"/>
    </xf>
    <xf numFmtId="0" fontId="4" fillId="0" borderId="0" xfId="0" applyFont="1" applyAlignment="1">
      <alignment horizontal="left" vertical="center"/>
    </xf>
    <xf numFmtId="0" fontId="4" fillId="0" borderId="4" xfId="0" applyFont="1" applyBorder="1" applyAlignment="1">
      <alignment horizontal="center" vertical="center"/>
    </xf>
    <xf numFmtId="0" fontId="4" fillId="0" borderId="18" xfId="0" applyFont="1" applyBorder="1" applyAlignment="1">
      <alignment horizontal="center" vertical="center"/>
    </xf>
    <xf numFmtId="0" fontId="4" fillId="0" borderId="3" xfId="0" applyFont="1" applyBorder="1" applyAlignment="1">
      <alignment horizontal="center" vertical="center"/>
    </xf>
    <xf numFmtId="0" fontId="6" fillId="0" borderId="3" xfId="0" applyFont="1" applyBorder="1" applyAlignment="1">
      <alignment horizontal="left" vertical="center"/>
    </xf>
    <xf numFmtId="165" fontId="6" fillId="0" borderId="0" xfId="0" applyNumberFormat="1" applyFont="1" applyAlignment="1">
      <alignment horizontal="right" vertical="center"/>
    </xf>
    <xf numFmtId="0" fontId="6" fillId="0" borderId="0" xfId="0" applyFont="1" applyAlignment="1">
      <alignment horizontal="center" vertical="center"/>
    </xf>
    <xf numFmtId="0" fontId="6" fillId="0" borderId="4" xfId="0" applyFont="1" applyBorder="1" applyAlignment="1">
      <alignment horizontal="center" vertical="center"/>
    </xf>
    <xf numFmtId="0" fontId="4" fillId="0" borderId="0" xfId="0" applyFont="1" applyAlignment="1">
      <alignment horizontal="right" vertical="center"/>
    </xf>
    <xf numFmtId="0" fontId="5" fillId="0" borderId="3" xfId="0" applyFont="1" applyBorder="1" applyAlignment="1">
      <alignment horizontal="left" vertical="center"/>
    </xf>
    <xf numFmtId="0" fontId="5" fillId="0" borderId="0" xfId="0" applyFont="1" applyAlignment="1">
      <alignment horizontal="right" vertical="center"/>
    </xf>
    <xf numFmtId="0" fontId="5" fillId="0" borderId="0" xfId="0" applyFont="1" applyAlignment="1">
      <alignment horizontal="center" vertical="center"/>
    </xf>
    <xf numFmtId="0" fontId="5" fillId="0" borderId="4" xfId="0" applyFont="1" applyBorder="1" applyAlignment="1">
      <alignment horizontal="right"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 xfId="0" applyFont="1" applyBorder="1" applyAlignment="1">
      <alignment vertical="center"/>
    </xf>
    <xf numFmtId="0" fontId="4" fillId="0" borderId="7" xfId="0" applyFont="1" applyBorder="1" applyAlignment="1">
      <alignment horizontal="center" vertical="center"/>
    </xf>
    <xf numFmtId="0" fontId="7" fillId="2" borderId="19" xfId="0" applyFont="1" applyFill="1" applyBorder="1" applyAlignment="1">
      <alignment horizontal="center" vertical="center" wrapText="1"/>
    </xf>
    <xf numFmtId="0" fontId="7" fillId="2" borderId="20" xfId="0" applyFont="1" applyFill="1" applyBorder="1" applyAlignment="1">
      <alignment horizontal="center" vertical="center" wrapText="1"/>
    </xf>
    <xf numFmtId="0" fontId="7" fillId="2" borderId="21" xfId="0" applyFont="1" applyFill="1" applyBorder="1" applyAlignment="1">
      <alignment horizontal="center" vertical="center" wrapText="1"/>
    </xf>
    <xf numFmtId="0" fontId="4" fillId="0" borderId="22" xfId="0" applyFont="1" applyBorder="1" applyAlignment="1">
      <alignment horizontal="center" vertical="center"/>
    </xf>
    <xf numFmtId="0" fontId="4" fillId="0" borderId="23" xfId="0" applyFont="1" applyBorder="1" applyAlignment="1">
      <alignment horizontal="center" vertical="center"/>
    </xf>
    <xf numFmtId="0" fontId="3" fillId="0" borderId="9" xfId="0" applyFont="1" applyBorder="1" applyAlignment="1" applyProtection="1">
      <alignment horizontal="left" vertical="center"/>
      <protection locked="0"/>
    </xf>
    <xf numFmtId="0" fontId="4" fillId="0" borderId="1" xfId="0" applyFont="1" applyBorder="1" applyAlignment="1" applyProtection="1">
      <alignment vertical="center" wrapText="1"/>
      <protection locked="0"/>
    </xf>
    <xf numFmtId="0" fontId="4" fillId="0" borderId="23" xfId="0" applyFont="1" applyBorder="1" applyAlignment="1" applyProtection="1">
      <alignment vertical="center" wrapText="1"/>
      <protection locked="0"/>
    </xf>
    <xf numFmtId="0" fontId="4" fillId="0" borderId="16" xfId="0" applyFont="1" applyBorder="1" applyAlignment="1" applyProtection="1">
      <alignment horizontal="center" vertical="center"/>
      <protection locked="0"/>
    </xf>
    <xf numFmtId="0" fontId="4" fillId="0" borderId="24" xfId="0"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4" fillId="0" borderId="23" xfId="0" applyFont="1" applyBorder="1" applyAlignment="1" applyProtection="1">
      <alignment horizontal="center" vertical="center"/>
      <protection locked="0"/>
    </xf>
    <xf numFmtId="165" fontId="6" fillId="0" borderId="0" xfId="0" applyNumberFormat="1" applyFont="1" applyAlignment="1" applyProtection="1">
      <alignment horizontal="right" vertical="center"/>
      <protection locked="0"/>
    </xf>
    <xf numFmtId="0" fontId="4" fillId="0" borderId="13" xfId="0" applyFont="1" applyBorder="1" applyAlignment="1">
      <alignment horizontal="center" vertical="center" wrapText="1"/>
    </xf>
    <xf numFmtId="0" fontId="4" fillId="0" borderId="0" xfId="0" applyFont="1" applyAlignment="1">
      <alignment horizontal="center" vertical="center" wrapText="1"/>
    </xf>
    <xf numFmtId="0" fontId="4" fillId="0" borderId="1" xfId="0" applyFont="1" applyBorder="1" applyAlignment="1">
      <alignment horizontal="center" vertical="center" wrapText="1"/>
    </xf>
    <xf numFmtId="0" fontId="4" fillId="0" borderId="23" xfId="0" applyFont="1" applyBorder="1" applyAlignment="1">
      <alignment horizontal="center" vertical="center" wrapText="1"/>
    </xf>
    <xf numFmtId="0" fontId="6" fillId="0" borderId="0" xfId="0" applyFont="1" applyAlignment="1">
      <alignment horizontal="center" vertical="center" wrapText="1"/>
    </xf>
    <xf numFmtId="0" fontId="5" fillId="0" borderId="0" xfId="0" applyFont="1" applyAlignment="1">
      <alignment horizontal="center" vertical="center" wrapText="1"/>
    </xf>
    <xf numFmtId="0" fontId="4" fillId="0" borderId="6" xfId="0" applyFont="1" applyBorder="1" applyAlignment="1">
      <alignment horizontal="center" vertical="center" wrapText="1"/>
    </xf>
    <xf numFmtId="0" fontId="10" fillId="0" borderId="1" xfId="0" applyFont="1" applyBorder="1" applyAlignment="1" applyProtection="1">
      <alignment vertical="center" wrapText="1"/>
      <protection locked="0"/>
    </xf>
    <xf numFmtId="167" fontId="4" fillId="0" borderId="1" xfId="0" applyNumberFormat="1" applyFont="1" applyBorder="1" applyAlignment="1" applyProtection="1">
      <alignment horizontal="center" vertical="center"/>
      <protection locked="0"/>
    </xf>
    <xf numFmtId="0" fontId="11" fillId="8" borderId="0" xfId="5" applyNumberFormat="1" applyFont="1" applyFill="1" applyBorder="1" applyAlignment="1" applyProtection="1">
      <alignment vertical="center"/>
    </xf>
    <xf numFmtId="169" fontId="11" fillId="8" borderId="31" xfId="5" applyNumberFormat="1" applyFont="1" applyFill="1" applyBorder="1" applyAlignment="1" applyProtection="1">
      <alignment vertical="center"/>
    </xf>
    <xf numFmtId="10" fontId="12" fillId="8" borderId="1" xfId="2" applyNumberFormat="1" applyFont="1" applyFill="1" applyBorder="1" applyAlignment="1" applyProtection="1">
      <alignment horizontal="center" vertical="center"/>
    </xf>
    <xf numFmtId="9" fontId="4" fillId="8" borderId="0" xfId="2" applyFont="1" applyFill="1" applyAlignment="1" applyProtection="1">
      <alignment vertical="center"/>
    </xf>
    <xf numFmtId="0" fontId="9" fillId="0" borderId="46" xfId="3" applyFont="1" applyFill="1" applyBorder="1" applyAlignment="1">
      <alignment vertical="center"/>
    </xf>
    <xf numFmtId="0" fontId="9" fillId="0" borderId="48" xfId="3" applyFont="1" applyFill="1" applyBorder="1" applyAlignment="1">
      <alignment horizontal="right" vertical="center"/>
    </xf>
    <xf numFmtId="0" fontId="4" fillId="8" borderId="0" xfId="0" applyFont="1" applyFill="1" applyAlignment="1">
      <alignment vertical="center"/>
    </xf>
    <xf numFmtId="0" fontId="4" fillId="8" borderId="0" xfId="0" applyFont="1" applyFill="1" applyAlignment="1">
      <alignment horizontal="center" vertical="center"/>
    </xf>
    <xf numFmtId="0" fontId="9" fillId="0" borderId="49" xfId="3" applyFont="1" applyFill="1" applyBorder="1" applyAlignment="1">
      <alignment vertical="center"/>
    </xf>
    <xf numFmtId="0" fontId="10" fillId="0" borderId="45" xfId="0" applyFont="1" applyBorder="1" applyAlignment="1">
      <alignment vertical="center"/>
    </xf>
    <xf numFmtId="0" fontId="10" fillId="0" borderId="34" xfId="0" applyFont="1" applyBorder="1" applyAlignment="1">
      <alignment vertical="center"/>
    </xf>
    <xf numFmtId="0" fontId="12" fillId="0" borderId="1" xfId="0" applyFont="1" applyBorder="1" applyAlignment="1">
      <alignment horizontal="right" vertical="center"/>
    </xf>
    <xf numFmtId="0" fontId="9" fillId="0" borderId="44" xfId="3" applyFont="1" applyFill="1" applyBorder="1" applyAlignment="1">
      <alignment vertical="center"/>
    </xf>
    <xf numFmtId="0" fontId="9" fillId="0" borderId="43" xfId="3" applyFont="1" applyFill="1" applyBorder="1" applyAlignment="1">
      <alignment horizontal="right" vertical="center"/>
    </xf>
    <xf numFmtId="0" fontId="9" fillId="0" borderId="18" xfId="3" applyFont="1" applyFill="1" applyBorder="1" applyAlignment="1">
      <alignment vertical="center"/>
    </xf>
    <xf numFmtId="0" fontId="9" fillId="0" borderId="31" xfId="0" applyFont="1" applyBorder="1" applyAlignment="1">
      <alignment horizontal="right" vertical="center"/>
    </xf>
    <xf numFmtId="0" fontId="9" fillId="0" borderId="37" xfId="0" applyFont="1" applyBorder="1" applyAlignment="1">
      <alignment horizontal="right" vertical="center"/>
    </xf>
    <xf numFmtId="0" fontId="9" fillId="0" borderId="42" xfId="3" applyFont="1" applyFill="1" applyBorder="1" applyAlignment="1">
      <alignment horizontal="right" vertical="center"/>
    </xf>
    <xf numFmtId="0" fontId="9" fillId="0" borderId="11" xfId="3" applyFont="1" applyFill="1" applyBorder="1" applyAlignment="1">
      <alignment horizontal="right" vertical="center"/>
    </xf>
    <xf numFmtId="0" fontId="9" fillId="0" borderId="49" xfId="3" applyFont="1" applyFill="1" applyBorder="1" applyAlignment="1">
      <alignment horizontal="right" vertical="center"/>
    </xf>
    <xf numFmtId="0" fontId="12" fillId="0" borderId="31" xfId="3" applyFont="1" applyFill="1" applyBorder="1" applyAlignment="1">
      <alignment vertical="center" wrapText="1"/>
    </xf>
    <xf numFmtId="0" fontId="12" fillId="0" borderId="37" xfId="3" applyFont="1" applyFill="1" applyBorder="1" applyAlignment="1">
      <alignment vertical="center" wrapText="1"/>
    </xf>
    <xf numFmtId="0" fontId="9" fillId="0" borderId="44" xfId="3" applyFont="1" applyFill="1" applyBorder="1" applyAlignment="1">
      <alignment horizontal="left" vertical="center"/>
    </xf>
    <xf numFmtId="0" fontId="12" fillId="0" borderId="9" xfId="3" applyFont="1" applyFill="1" applyBorder="1" applyAlignment="1">
      <alignment horizontal="right" vertical="center" wrapText="1"/>
    </xf>
    <xf numFmtId="0" fontId="12" fillId="0" borderId="3" xfId="3" applyFont="1" applyFill="1" applyBorder="1" applyAlignment="1">
      <alignment horizontal="left" vertical="center"/>
    </xf>
    <xf numFmtId="2" fontId="10" fillId="0" borderId="0" xfId="3" applyNumberFormat="1" applyFont="1" applyFill="1" applyAlignment="1">
      <alignment horizontal="left" vertical="center"/>
    </xf>
    <xf numFmtId="0" fontId="10" fillId="0" borderId="0" xfId="3" applyFont="1" applyFill="1" applyAlignment="1">
      <alignment horizontal="left" vertical="center"/>
    </xf>
    <xf numFmtId="0" fontId="10" fillId="0" borderId="0" xfId="3" applyFont="1" applyFill="1" applyAlignment="1">
      <alignment horizontal="center" vertical="center"/>
    </xf>
    <xf numFmtId="0" fontId="10" fillId="0" borderId="4" xfId="3" applyFont="1" applyFill="1" applyBorder="1" applyAlignment="1">
      <alignment horizontal="center" vertical="center"/>
    </xf>
    <xf numFmtId="0" fontId="10" fillId="8" borderId="3" xfId="3" applyFont="1" applyFill="1" applyBorder="1" applyAlignment="1">
      <alignment horizontal="left" vertical="center"/>
    </xf>
    <xf numFmtId="0" fontId="10" fillId="8" borderId="0" xfId="3" applyFont="1" applyFill="1" applyAlignment="1">
      <alignment horizontal="left" vertical="center"/>
    </xf>
    <xf numFmtId="0" fontId="10" fillId="8" borderId="0" xfId="3" applyFont="1" applyFill="1" applyAlignment="1">
      <alignment horizontal="center" vertical="center"/>
    </xf>
    <xf numFmtId="0" fontId="10" fillId="8" borderId="4" xfId="3" applyFont="1" applyFill="1" applyBorder="1" applyAlignment="1">
      <alignment horizontal="center" vertical="center"/>
    </xf>
    <xf numFmtId="0" fontId="6" fillId="8" borderId="0" xfId="0" applyFont="1" applyFill="1" applyAlignment="1">
      <alignment vertical="center"/>
    </xf>
    <xf numFmtId="0" fontId="6" fillId="8" borderId="0" xfId="0" applyFont="1" applyFill="1" applyAlignment="1">
      <alignment horizontal="center" vertical="center"/>
    </xf>
    <xf numFmtId="0" fontId="9" fillId="10" borderId="36" xfId="3" applyFont="1" applyFill="1" applyBorder="1" applyAlignment="1">
      <alignment vertical="center"/>
    </xf>
    <xf numFmtId="0" fontId="9" fillId="10" borderId="1" xfId="3" applyFont="1" applyFill="1" applyBorder="1" applyAlignment="1">
      <alignment horizontal="center" vertical="center"/>
    </xf>
    <xf numFmtId="0" fontId="9" fillId="10" borderId="16" xfId="3" applyFont="1" applyFill="1" applyBorder="1" applyAlignment="1">
      <alignment horizontal="center" vertical="center"/>
    </xf>
    <xf numFmtId="0" fontId="9" fillId="8" borderId="17" xfId="3" applyFont="1" applyFill="1" applyBorder="1" applyAlignment="1">
      <alignment vertical="center"/>
    </xf>
    <xf numFmtId="0" fontId="9" fillId="8" borderId="10" xfId="3" applyFont="1" applyFill="1" applyBorder="1" applyAlignment="1">
      <alignment vertical="center" wrapText="1"/>
    </xf>
    <xf numFmtId="0" fontId="9" fillId="8" borderId="11" xfId="3" applyFont="1" applyFill="1" applyBorder="1" applyAlignment="1">
      <alignment vertical="center" wrapText="1"/>
    </xf>
    <xf numFmtId="167" fontId="9" fillId="8" borderId="34" xfId="0" applyNumberFormat="1" applyFont="1" applyFill="1" applyBorder="1" applyAlignment="1">
      <alignment vertical="center"/>
    </xf>
    <xf numFmtId="167" fontId="9" fillId="12" borderId="35" xfId="3" applyNumberFormat="1" applyFont="1" applyFill="1" applyBorder="1" applyAlignment="1">
      <alignment horizontal="center" vertical="center"/>
    </xf>
    <xf numFmtId="167" fontId="6" fillId="8" borderId="0" xfId="0" applyNumberFormat="1" applyFont="1" applyFill="1" applyAlignment="1">
      <alignment horizontal="center" vertical="center"/>
    </xf>
    <xf numFmtId="0" fontId="13" fillId="8" borderId="3" xfId="3" applyFont="1" applyFill="1" applyBorder="1" applyAlignment="1">
      <alignment vertical="center"/>
    </xf>
    <xf numFmtId="0" fontId="12" fillId="8" borderId="0" xfId="3" applyFont="1" applyFill="1" applyAlignment="1">
      <alignment vertical="center" wrapText="1"/>
    </xf>
    <xf numFmtId="0" fontId="12" fillId="8" borderId="31" xfId="3" applyFont="1" applyFill="1" applyBorder="1" applyAlignment="1">
      <alignment vertical="center" wrapText="1"/>
    </xf>
    <xf numFmtId="167" fontId="12" fillId="11" borderId="35" xfId="3" applyNumberFormat="1" applyFont="1" applyFill="1" applyBorder="1" applyAlignment="1">
      <alignment horizontal="center" vertical="center"/>
    </xf>
    <xf numFmtId="0" fontId="12" fillId="8" borderId="3" xfId="3" applyFont="1" applyFill="1" applyBorder="1" applyAlignment="1">
      <alignment vertical="center"/>
    </xf>
    <xf numFmtId="167" fontId="12" fillId="12" borderId="35" xfId="3" applyNumberFormat="1" applyFont="1" applyFill="1" applyBorder="1" applyAlignment="1">
      <alignment horizontal="center" vertical="center"/>
    </xf>
    <xf numFmtId="167" fontId="4" fillId="8" borderId="0" xfId="0" applyNumberFormat="1" applyFont="1" applyFill="1" applyAlignment="1">
      <alignment horizontal="center" vertical="center"/>
    </xf>
    <xf numFmtId="167" fontId="10" fillId="8" borderId="16" xfId="3" applyNumberFormat="1" applyFont="1" applyFill="1" applyBorder="1" applyAlignment="1">
      <alignment horizontal="center" vertical="center"/>
    </xf>
    <xf numFmtId="0" fontId="13" fillId="8" borderId="32" xfId="3" applyFont="1" applyFill="1" applyBorder="1" applyAlignment="1">
      <alignment vertical="center"/>
    </xf>
    <xf numFmtId="0" fontId="12" fillId="8" borderId="27" xfId="3" applyFont="1" applyFill="1" applyBorder="1" applyAlignment="1">
      <alignment vertical="center" wrapText="1"/>
    </xf>
    <xf numFmtId="0" fontId="12" fillId="8" borderId="37" xfId="3" applyFont="1" applyFill="1" applyBorder="1" applyAlignment="1">
      <alignment vertical="center" wrapText="1"/>
    </xf>
    <xf numFmtId="0" fontId="9" fillId="8" borderId="44" xfId="3" applyFont="1" applyFill="1" applyBorder="1" applyAlignment="1">
      <alignment vertical="center" wrapText="1"/>
    </xf>
    <xf numFmtId="167" fontId="9" fillId="8" borderId="9" xfId="0" applyNumberFormat="1" applyFont="1" applyFill="1" applyBorder="1" applyAlignment="1">
      <alignment horizontal="center" vertical="center"/>
    </xf>
    <xf numFmtId="167" fontId="9" fillId="8" borderId="16" xfId="3" applyNumberFormat="1" applyFont="1" applyFill="1" applyBorder="1" applyAlignment="1">
      <alignment horizontal="center" vertical="center"/>
    </xf>
    <xf numFmtId="0" fontId="4" fillId="8" borderId="3" xfId="0" applyFont="1" applyFill="1" applyBorder="1" applyAlignment="1">
      <alignment vertical="center"/>
    </xf>
    <xf numFmtId="0" fontId="4" fillId="8" borderId="4" xfId="0" applyFont="1" applyFill="1" applyBorder="1" applyAlignment="1">
      <alignment horizontal="center" vertical="center"/>
    </xf>
    <xf numFmtId="0" fontId="10" fillId="8" borderId="3" xfId="0" applyFont="1" applyFill="1" applyBorder="1" applyAlignment="1">
      <alignment vertical="center"/>
    </xf>
    <xf numFmtId="0" fontId="10" fillId="8" borderId="0" xfId="0" applyFont="1" applyFill="1" applyAlignment="1">
      <alignment vertical="center"/>
    </xf>
    <xf numFmtId="0" fontId="10" fillId="8" borderId="0" xfId="0" applyFont="1" applyFill="1" applyAlignment="1">
      <alignment horizontal="center" vertical="center"/>
    </xf>
    <xf numFmtId="0" fontId="10" fillId="8" borderId="4" xfId="0" applyFont="1" applyFill="1" applyBorder="1" applyAlignment="1">
      <alignment horizontal="center" vertical="center"/>
    </xf>
    <xf numFmtId="0" fontId="12" fillId="8" borderId="3" xfId="0" applyFont="1" applyFill="1" applyBorder="1" applyAlignment="1">
      <alignment vertical="center"/>
    </xf>
    <xf numFmtId="0" fontId="12" fillId="8" borderId="0" xfId="0" applyFont="1" applyFill="1" applyAlignment="1">
      <alignment vertical="center"/>
    </xf>
    <xf numFmtId="0" fontId="12" fillId="0" borderId="0" xfId="0" applyFont="1" applyAlignment="1">
      <alignment vertical="center"/>
    </xf>
    <xf numFmtId="0" fontId="9" fillId="8" borderId="1" xfId="3" applyFont="1" applyFill="1" applyBorder="1" applyAlignment="1">
      <alignment horizontal="center" vertical="center" wrapText="1"/>
    </xf>
    <xf numFmtId="0" fontId="9" fillId="8" borderId="18" xfId="3" applyFont="1" applyFill="1" applyBorder="1" applyAlignment="1">
      <alignment vertical="center" wrapText="1"/>
    </xf>
    <xf numFmtId="0" fontId="10" fillId="8" borderId="22" xfId="3" applyFont="1" applyFill="1" applyBorder="1" applyAlignment="1">
      <alignment vertical="center" wrapText="1"/>
    </xf>
    <xf numFmtId="0" fontId="10" fillId="8" borderId="23" xfId="3" applyFont="1" applyFill="1" applyBorder="1" applyAlignment="1">
      <alignment vertical="center" wrapText="1"/>
    </xf>
    <xf numFmtId="0" fontId="10" fillId="0" borderId="1" xfId="0" applyFont="1" applyBorder="1" applyAlignment="1">
      <alignment horizontal="center" vertical="center" wrapText="1"/>
    </xf>
    <xf numFmtId="165" fontId="10" fillId="8" borderId="16" xfId="1" applyNumberFormat="1" applyFont="1" applyFill="1" applyBorder="1" applyAlignment="1" applyProtection="1">
      <alignment horizontal="center" vertical="center" wrapText="1"/>
    </xf>
    <xf numFmtId="0" fontId="9" fillId="10" borderId="9" xfId="3" applyFont="1" applyFill="1" applyBorder="1" applyAlignment="1">
      <alignment horizontal="center" vertical="center"/>
    </xf>
    <xf numFmtId="0" fontId="4" fillId="11" borderId="9" xfId="4" applyFont="1" applyFill="1" applyBorder="1" applyAlignment="1" applyProtection="1">
      <alignment horizontal="center" vertical="center" wrapText="1"/>
      <protection locked="0"/>
    </xf>
    <xf numFmtId="0" fontId="9" fillId="10" borderId="36" xfId="3" applyFont="1" applyFill="1" applyBorder="1" applyAlignment="1">
      <alignment horizontal="center" vertical="center"/>
    </xf>
    <xf numFmtId="0" fontId="4" fillId="0" borderId="36" xfId="0" applyFont="1" applyBorder="1" applyAlignment="1">
      <alignment horizontal="center" vertical="center"/>
    </xf>
    <xf numFmtId="0" fontId="3" fillId="0" borderId="1" xfId="0" applyFont="1" applyBorder="1" applyAlignment="1" applyProtection="1">
      <alignment horizontal="center" vertical="center"/>
      <protection locked="0"/>
    </xf>
    <xf numFmtId="0" fontId="3" fillId="0" borderId="16" xfId="0" applyFont="1" applyBorder="1" applyAlignment="1" applyProtection="1">
      <alignment horizontal="center" vertical="center"/>
      <protection locked="0"/>
    </xf>
    <xf numFmtId="0" fontId="3" fillId="0" borderId="18" xfId="0" applyFont="1" applyBorder="1" applyAlignment="1">
      <alignment horizontal="left" vertical="center"/>
    </xf>
    <xf numFmtId="0" fontId="3" fillId="0" borderId="1" xfId="0" applyFont="1" applyBorder="1" applyAlignment="1">
      <alignment horizontal="left" vertical="center"/>
    </xf>
    <xf numFmtId="0" fontId="3" fillId="0" borderId="1" xfId="0" applyFont="1" applyBorder="1" applyAlignment="1">
      <alignment horizontal="right" vertical="center"/>
    </xf>
    <xf numFmtId="0" fontId="3" fillId="0" borderId="16" xfId="0" applyFont="1" applyBorder="1" applyAlignment="1">
      <alignment horizontal="right" vertical="center"/>
    </xf>
    <xf numFmtId="0" fontId="5" fillId="0" borderId="1"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0" borderId="18" xfId="0" applyFont="1" applyBorder="1" applyAlignment="1">
      <alignment horizontal="left" vertical="center"/>
    </xf>
    <xf numFmtId="0" fontId="5" fillId="0" borderId="1" xfId="0" applyFont="1" applyBorder="1" applyAlignment="1">
      <alignment horizontal="left" vertical="center"/>
    </xf>
    <xf numFmtId="14" fontId="3" fillId="0" borderId="10" xfId="0" applyNumberFormat="1" applyFont="1" applyBorder="1" applyAlignment="1" applyProtection="1">
      <alignment horizontal="left" vertical="center"/>
      <protection locked="0"/>
    </xf>
    <xf numFmtId="14" fontId="3" fillId="0" borderId="11" xfId="0" applyNumberFormat="1" applyFont="1" applyBorder="1" applyAlignment="1" applyProtection="1">
      <alignment horizontal="left" vertical="center"/>
      <protection locked="0"/>
    </xf>
    <xf numFmtId="0" fontId="5" fillId="0" borderId="18" xfId="0" applyFont="1" applyBorder="1" applyAlignment="1" applyProtection="1">
      <alignment horizontal="left" vertical="center" wrapText="1"/>
      <protection locked="0"/>
    </xf>
    <xf numFmtId="0" fontId="5" fillId="0" borderId="1" xfId="0" applyFont="1" applyBorder="1" applyAlignment="1" applyProtection="1">
      <alignment horizontal="left" vertical="center"/>
      <protection locked="0"/>
    </xf>
    <xf numFmtId="0" fontId="14" fillId="0" borderId="15" xfId="3" applyFont="1" applyFill="1" applyBorder="1" applyAlignment="1">
      <alignment horizontal="left" vertical="center"/>
    </xf>
    <xf numFmtId="0" fontId="14" fillId="0" borderId="8" xfId="3" applyFont="1" applyFill="1" applyBorder="1" applyAlignment="1">
      <alignment horizontal="left" vertical="center"/>
    </xf>
    <xf numFmtId="0" fontId="14" fillId="0" borderId="33" xfId="3" applyFont="1" applyFill="1" applyBorder="1" applyAlignment="1">
      <alignment horizontal="left" vertical="center"/>
    </xf>
    <xf numFmtId="0" fontId="15" fillId="9" borderId="12" xfId="3" applyFont="1" applyFill="1" applyBorder="1" applyAlignment="1">
      <alignment horizontal="center" vertical="center"/>
    </xf>
    <xf numFmtId="0" fontId="15" fillId="9" borderId="13" xfId="3" applyFont="1" applyFill="1" applyBorder="1" applyAlignment="1">
      <alignment horizontal="center" vertical="center"/>
    </xf>
    <xf numFmtId="0" fontId="15" fillId="9" borderId="14" xfId="3" applyFont="1" applyFill="1" applyBorder="1" applyAlignment="1">
      <alignment horizontal="center" vertical="center"/>
    </xf>
    <xf numFmtId="0" fontId="11" fillId="0" borderId="36" xfId="3" applyFont="1" applyFill="1" applyBorder="1" applyAlignment="1">
      <alignment horizontal="left" vertical="center" wrapText="1"/>
    </xf>
    <xf numFmtId="0" fontId="11" fillId="0" borderId="9" xfId="3" applyFont="1" applyFill="1" applyBorder="1" applyAlignment="1">
      <alignment horizontal="left" vertical="center" wrapText="1"/>
    </xf>
    <xf numFmtId="0" fontId="11" fillId="0" borderId="26" xfId="3" applyFont="1" applyFill="1" applyBorder="1" applyAlignment="1">
      <alignment horizontal="left" vertical="center" wrapText="1"/>
    </xf>
    <xf numFmtId="0" fontId="11" fillId="0" borderId="37" xfId="3" applyFont="1" applyFill="1" applyBorder="1" applyAlignment="1">
      <alignment horizontal="left" vertical="center" wrapText="1"/>
    </xf>
    <xf numFmtId="0" fontId="9" fillId="0" borderId="25" xfId="3" applyFont="1" applyFill="1" applyBorder="1" applyAlignment="1">
      <alignment horizontal="left" vertical="center"/>
    </xf>
    <xf numFmtId="0" fontId="9" fillId="0" borderId="47" xfId="3" applyFont="1" applyFill="1" applyBorder="1" applyAlignment="1">
      <alignment horizontal="left" vertical="center"/>
    </xf>
    <xf numFmtId="0" fontId="10" fillId="0" borderId="2" xfId="3" applyFont="1" applyFill="1" applyBorder="1" applyAlignment="1">
      <alignment vertical="center" wrapText="1"/>
    </xf>
    <xf numFmtId="0" fontId="10" fillId="0" borderId="0" xfId="3" applyFont="1" applyFill="1" applyAlignment="1">
      <alignment vertical="center" wrapText="1"/>
    </xf>
    <xf numFmtId="0" fontId="10" fillId="0" borderId="4" xfId="3" applyFont="1" applyFill="1" applyBorder="1" applyAlignment="1">
      <alignment vertical="center" wrapText="1"/>
    </xf>
    <xf numFmtId="0" fontId="9" fillId="0" borderId="36" xfId="3" applyFont="1" applyFill="1" applyBorder="1" applyAlignment="1">
      <alignment horizontal="left" vertical="center" wrapText="1"/>
    </xf>
    <xf numFmtId="0" fontId="9" fillId="0" borderId="8" xfId="3" applyFont="1" applyFill="1" applyBorder="1" applyAlignment="1">
      <alignment horizontal="left" vertical="center" wrapText="1"/>
    </xf>
    <xf numFmtId="0" fontId="9" fillId="0" borderId="33" xfId="3" applyFont="1" applyFill="1" applyBorder="1" applyAlignment="1">
      <alignment horizontal="left" vertical="center" wrapText="1"/>
    </xf>
    <xf numFmtId="0" fontId="10" fillId="0" borderId="2" xfId="3" applyFont="1" applyFill="1" applyBorder="1" applyAlignment="1">
      <alignment horizontal="left" vertical="center" wrapText="1"/>
    </xf>
    <xf numFmtId="0" fontId="10" fillId="0" borderId="0" xfId="3" applyFont="1" applyFill="1" applyAlignment="1">
      <alignment horizontal="left" vertical="center" wrapText="1"/>
    </xf>
    <xf numFmtId="0" fontId="10" fillId="0" borderId="4" xfId="3" applyFont="1" applyFill="1" applyBorder="1" applyAlignment="1">
      <alignment horizontal="left" vertical="center" wrapText="1"/>
    </xf>
    <xf numFmtId="0" fontId="10" fillId="0" borderId="26" xfId="3" applyFont="1" applyFill="1" applyBorder="1" applyAlignment="1">
      <alignment horizontal="left" vertical="center"/>
    </xf>
    <xf numFmtId="0" fontId="10" fillId="0" borderId="27" xfId="3" applyFont="1" applyFill="1" applyBorder="1" applyAlignment="1">
      <alignment horizontal="left" vertical="center"/>
    </xf>
    <xf numFmtId="0" fontId="10" fillId="0" borderId="28" xfId="3" applyFont="1" applyFill="1" applyBorder="1" applyAlignment="1">
      <alignment horizontal="left" vertical="center"/>
    </xf>
    <xf numFmtId="0" fontId="10" fillId="0" borderId="36" xfId="3" applyFont="1" applyFill="1" applyBorder="1" applyAlignment="1">
      <alignment horizontal="left" vertical="center"/>
    </xf>
    <xf numFmtId="0" fontId="10" fillId="0" borderId="8" xfId="3" applyFont="1" applyFill="1" applyBorder="1" applyAlignment="1">
      <alignment horizontal="left" vertical="center"/>
    </xf>
    <xf numFmtId="0" fontId="10" fillId="0" borderId="33" xfId="3" applyFont="1" applyFill="1" applyBorder="1" applyAlignment="1">
      <alignment horizontal="left" vertical="center"/>
    </xf>
    <xf numFmtId="0" fontId="10" fillId="0" borderId="26" xfId="3" applyFont="1" applyFill="1" applyBorder="1" applyAlignment="1">
      <alignment horizontal="left" vertical="center" wrapText="1"/>
    </xf>
    <xf numFmtId="0" fontId="10" fillId="0" borderId="27" xfId="3" applyFont="1" applyFill="1" applyBorder="1" applyAlignment="1">
      <alignment horizontal="left" vertical="center" wrapText="1"/>
    </xf>
    <xf numFmtId="0" fontId="10" fillId="0" borderId="28" xfId="3" applyFont="1" applyFill="1" applyBorder="1" applyAlignment="1">
      <alignment horizontal="left" vertical="center" wrapText="1"/>
    </xf>
    <xf numFmtId="166" fontId="11" fillId="0" borderId="2" xfId="0" applyNumberFormat="1" applyFont="1" applyBorder="1" applyAlignment="1">
      <alignment horizontal="left" vertical="center" wrapText="1"/>
    </xf>
    <xf numFmtId="166" fontId="11" fillId="0" borderId="0" xfId="0" applyNumberFormat="1" applyFont="1" applyAlignment="1">
      <alignment horizontal="left" vertical="center" wrapText="1"/>
    </xf>
    <xf numFmtId="166" fontId="11" fillId="0" borderId="4" xfId="0" applyNumberFormat="1" applyFont="1" applyBorder="1" applyAlignment="1">
      <alignment horizontal="left" vertical="center" wrapText="1"/>
    </xf>
    <xf numFmtId="0" fontId="10" fillId="0" borderId="31" xfId="3" applyFont="1" applyFill="1" applyBorder="1" applyAlignment="1">
      <alignment horizontal="left" vertical="center" wrapText="1"/>
    </xf>
    <xf numFmtId="0" fontId="9" fillId="0" borderId="25" xfId="0" applyFont="1" applyBorder="1" applyAlignment="1">
      <alignment horizontal="left" vertical="center"/>
    </xf>
    <xf numFmtId="0" fontId="9" fillId="0" borderId="13" xfId="0" applyFont="1" applyBorder="1" applyAlignment="1">
      <alignment horizontal="left" vertical="center"/>
    </xf>
    <xf numFmtId="0" fontId="9" fillId="0" borderId="14" xfId="0" applyFont="1" applyBorder="1" applyAlignment="1">
      <alignment horizontal="left" vertical="center"/>
    </xf>
    <xf numFmtId="0" fontId="9" fillId="0" borderId="29" xfId="3" applyFont="1" applyFill="1" applyBorder="1" applyAlignment="1">
      <alignment horizontal="left" vertical="center"/>
    </xf>
    <xf numFmtId="0" fontId="9" fillId="0" borderId="10" xfId="3" applyFont="1" applyFill="1" applyBorder="1" applyAlignment="1">
      <alignment horizontal="left" vertical="center"/>
    </xf>
    <xf numFmtId="0" fontId="9" fillId="0" borderId="30" xfId="3" applyFont="1" applyFill="1" applyBorder="1" applyAlignment="1">
      <alignment horizontal="left" vertical="center"/>
    </xf>
    <xf numFmtId="15" fontId="9" fillId="0" borderId="26" xfId="3" applyNumberFormat="1" applyFont="1" applyFill="1" applyBorder="1" applyAlignment="1">
      <alignment horizontal="left" vertical="center" wrapText="1"/>
    </xf>
    <xf numFmtId="15" fontId="9" fillId="0" borderId="27" xfId="3" applyNumberFormat="1" applyFont="1" applyFill="1" applyBorder="1" applyAlignment="1">
      <alignment horizontal="left" vertical="center" wrapText="1"/>
    </xf>
    <xf numFmtId="15" fontId="9" fillId="0" borderId="28" xfId="3" applyNumberFormat="1" applyFont="1" applyFill="1" applyBorder="1" applyAlignment="1">
      <alignment horizontal="left" vertical="center" wrapText="1"/>
    </xf>
    <xf numFmtId="15" fontId="9" fillId="0" borderId="29" xfId="3" applyNumberFormat="1" applyFont="1" applyFill="1" applyBorder="1" applyAlignment="1">
      <alignment horizontal="left" vertical="center"/>
    </xf>
    <xf numFmtId="15" fontId="9" fillId="0" borderId="10" xfId="3" applyNumberFormat="1" applyFont="1" applyFill="1" applyBorder="1" applyAlignment="1">
      <alignment horizontal="left" vertical="center"/>
    </xf>
    <xf numFmtId="15" fontId="9" fillId="0" borderId="30" xfId="3" applyNumberFormat="1" applyFont="1" applyFill="1" applyBorder="1" applyAlignment="1">
      <alignment horizontal="left" vertical="center"/>
    </xf>
    <xf numFmtId="0" fontId="10" fillId="8" borderId="38" xfId="3" applyFont="1" applyFill="1" applyBorder="1" applyAlignment="1">
      <alignment horizontal="center" vertical="center" wrapText="1"/>
    </xf>
    <xf numFmtId="0" fontId="10" fillId="8" borderId="40" xfId="3" applyFont="1" applyFill="1" applyBorder="1" applyAlignment="1">
      <alignment horizontal="center" vertical="center" wrapText="1"/>
    </xf>
    <xf numFmtId="0" fontId="10" fillId="8" borderId="39" xfId="3" applyFont="1" applyFill="1" applyBorder="1" applyAlignment="1">
      <alignment horizontal="center" vertical="center" wrapText="1"/>
    </xf>
    <xf numFmtId="0" fontId="9" fillId="8" borderId="36" xfId="3" applyFont="1" applyFill="1" applyBorder="1" applyAlignment="1">
      <alignment horizontal="left" vertical="center" wrapText="1"/>
    </xf>
    <xf numFmtId="0" fontId="9" fillId="8" borderId="8" xfId="3" applyFont="1" applyFill="1" applyBorder="1" applyAlignment="1">
      <alignment horizontal="left" vertical="center" wrapText="1"/>
    </xf>
    <xf numFmtId="0" fontId="9" fillId="8" borderId="9" xfId="3" applyFont="1" applyFill="1" applyBorder="1" applyAlignment="1">
      <alignment horizontal="left" vertical="center" wrapText="1"/>
    </xf>
    <xf numFmtId="0" fontId="10" fillId="0" borderId="36" xfId="3" applyFont="1" applyFill="1" applyBorder="1" applyAlignment="1">
      <alignment horizontal="left" vertical="center" wrapText="1"/>
    </xf>
    <xf numFmtId="0" fontId="10" fillId="0" borderId="9" xfId="3" applyFont="1" applyFill="1" applyBorder="1" applyAlignment="1">
      <alignment horizontal="left" vertical="center" wrapText="1"/>
    </xf>
    <xf numFmtId="0" fontId="10" fillId="0" borderId="37" xfId="3" applyFont="1" applyFill="1" applyBorder="1" applyAlignment="1">
      <alignment horizontal="left" vertical="center" wrapText="1"/>
    </xf>
    <xf numFmtId="0" fontId="11" fillId="0" borderId="29" xfId="3" applyFont="1" applyFill="1" applyBorder="1" applyAlignment="1">
      <alignment horizontal="left" vertical="center" wrapText="1"/>
    </xf>
    <xf numFmtId="0" fontId="11" fillId="0" borderId="11" xfId="3" applyFont="1" applyFill="1" applyBorder="1" applyAlignment="1">
      <alignment horizontal="left" vertical="center" wrapText="1"/>
    </xf>
    <xf numFmtId="0" fontId="10" fillId="8" borderId="41" xfId="3" applyFont="1" applyFill="1" applyBorder="1" applyAlignment="1">
      <alignment horizontal="center" vertical="center" wrapText="1"/>
    </xf>
    <xf numFmtId="0" fontId="12" fillId="8" borderId="17" xfId="3" applyFont="1" applyFill="1" applyBorder="1" applyAlignment="1">
      <alignment horizontal="center" vertical="center" wrapText="1"/>
    </xf>
    <xf numFmtId="0" fontId="10" fillId="8" borderId="10" xfId="0" applyFont="1" applyFill="1" applyBorder="1" applyAlignment="1">
      <alignment horizontal="center" vertical="center"/>
    </xf>
    <xf numFmtId="0" fontId="10" fillId="8" borderId="30" xfId="0" applyFont="1" applyFill="1" applyBorder="1" applyAlignment="1">
      <alignment horizontal="center" vertical="center"/>
    </xf>
    <xf numFmtId="0" fontId="9" fillId="8" borderId="18" xfId="3" applyFont="1" applyFill="1" applyBorder="1" applyAlignment="1">
      <alignment horizontal="center" vertical="center" wrapText="1"/>
    </xf>
    <xf numFmtId="0" fontId="9" fillId="8" borderId="1" xfId="3" applyFont="1" applyFill="1" applyBorder="1" applyAlignment="1">
      <alignment horizontal="center" vertical="center" wrapText="1"/>
    </xf>
    <xf numFmtId="0" fontId="9" fillId="8" borderId="36" xfId="0" applyFont="1" applyFill="1" applyBorder="1" applyAlignment="1">
      <alignment horizontal="center" vertical="center"/>
    </xf>
    <xf numFmtId="0" fontId="9" fillId="8" borderId="8" xfId="0" applyFont="1" applyFill="1" applyBorder="1" applyAlignment="1">
      <alignment horizontal="center" vertical="center"/>
    </xf>
    <xf numFmtId="0" fontId="9" fillId="8" borderId="33" xfId="0" applyFont="1" applyFill="1" applyBorder="1" applyAlignment="1">
      <alignment horizontal="center" vertical="center"/>
    </xf>
    <xf numFmtId="0" fontId="9" fillId="8" borderId="36" xfId="3" applyFont="1" applyFill="1" applyBorder="1" applyAlignment="1">
      <alignment horizontal="center" vertical="center" wrapText="1"/>
    </xf>
    <xf numFmtId="0" fontId="9" fillId="8" borderId="8" xfId="3" applyFont="1" applyFill="1" applyBorder="1" applyAlignment="1">
      <alignment horizontal="center" vertical="center" wrapText="1"/>
    </xf>
    <xf numFmtId="0" fontId="9" fillId="8" borderId="9" xfId="3" applyFont="1" applyFill="1" applyBorder="1" applyAlignment="1">
      <alignment horizontal="center" vertical="center" wrapText="1"/>
    </xf>
    <xf numFmtId="169" fontId="10" fillId="8" borderId="36" xfId="5" applyNumberFormat="1" applyFont="1" applyFill="1" applyBorder="1" applyAlignment="1" applyProtection="1">
      <alignment horizontal="center" vertical="center"/>
    </xf>
    <xf numFmtId="169" fontId="10" fillId="8" borderId="9" xfId="5" applyNumberFormat="1" applyFont="1" applyFill="1" applyBorder="1" applyAlignment="1" applyProtection="1">
      <alignment horizontal="center" vertical="center"/>
    </xf>
    <xf numFmtId="169" fontId="10" fillId="8" borderId="36" xfId="5" applyNumberFormat="1" applyFont="1" applyFill="1" applyBorder="1" applyAlignment="1" applyProtection="1">
      <alignment horizontal="center" vertical="center" wrapText="1"/>
    </xf>
    <xf numFmtId="169" fontId="10" fillId="8" borderId="9" xfId="5" applyNumberFormat="1" applyFont="1" applyFill="1" applyBorder="1" applyAlignment="1" applyProtection="1">
      <alignment horizontal="center" vertical="center" wrapText="1"/>
    </xf>
    <xf numFmtId="169" fontId="10" fillId="8" borderId="29" xfId="5" applyNumberFormat="1" applyFont="1" applyFill="1" applyBorder="1" applyAlignment="1" applyProtection="1">
      <alignment horizontal="center" vertical="center"/>
    </xf>
    <xf numFmtId="169" fontId="10" fillId="8" borderId="11" xfId="5" applyNumberFormat="1" applyFont="1" applyFill="1" applyBorder="1" applyAlignment="1" applyProtection="1">
      <alignment horizontal="center" vertical="center"/>
    </xf>
    <xf numFmtId="169" fontId="10" fillId="8" borderId="26" xfId="5" applyNumberFormat="1" applyFont="1" applyFill="1" applyBorder="1" applyAlignment="1" applyProtection="1">
      <alignment horizontal="center" vertical="center"/>
    </xf>
    <xf numFmtId="169" fontId="10" fillId="8" borderId="37" xfId="5" applyNumberFormat="1" applyFont="1" applyFill="1" applyBorder="1" applyAlignment="1" applyProtection="1">
      <alignment horizontal="center" vertical="center"/>
    </xf>
    <xf numFmtId="0" fontId="9" fillId="8" borderId="3" xfId="0" applyFont="1" applyFill="1" applyBorder="1" applyAlignment="1">
      <alignment horizontal="center" vertical="center"/>
    </xf>
    <xf numFmtId="0" fontId="9" fillId="8" borderId="0" xfId="0" applyFont="1" applyFill="1" applyAlignment="1">
      <alignment horizontal="center" vertical="center"/>
    </xf>
    <xf numFmtId="0" fontId="9" fillId="8" borderId="4" xfId="0" applyFont="1" applyFill="1" applyBorder="1" applyAlignment="1">
      <alignment horizontal="center" vertical="center"/>
    </xf>
  </cellXfs>
  <cellStyles count="6">
    <cellStyle name="Comma" xfId="1" builtinId="3"/>
    <cellStyle name="Comma_Sheet1" xfId="5" xr:uid="{B115F4B2-3E07-4994-8001-D18646B8E456}"/>
    <cellStyle name="Normal" xfId="0" builtinId="0"/>
    <cellStyle name="Normal 2 2" xfId="4" xr:uid="{AE980E01-552A-4DD3-994B-DFD39B299EF5}"/>
    <cellStyle name="Normal_Sheet1" xfId="3" xr:uid="{8C96E3FF-9DB9-49AE-BD65-3B808CF0F010}"/>
    <cellStyle name="Percent" xfId="2" builtinId="5"/>
  </cellStyles>
  <dxfs count="41">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fill>
        <patternFill patternType="solid">
          <fgColor indexed="64"/>
          <bgColor indexed="9"/>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numFmt numFmtId="165" formatCode="&quot;₹&quot;\ #,##0.00"/>
      <fill>
        <patternFill patternType="solid">
          <fgColor indexed="64"/>
          <bgColor indexed="9"/>
        </patternFill>
      </fill>
      <alignment horizontal="center" vertical="center" textRotation="0" wrapText="1" indent="0" justifyLastLine="0" shrinkToFit="0" readingOrder="0"/>
      <border diagonalUp="0" diagonalDown="0">
        <left style="thin">
          <color auto="1"/>
        </left>
        <right style="medium">
          <color indexed="64"/>
        </right>
        <top style="thin">
          <color auto="1"/>
        </top>
        <bottom style="thin">
          <color auto="1"/>
        </bottom>
        <vertical/>
        <horizontal/>
      </border>
      <protection locked="1" hidden="0"/>
    </dxf>
    <dxf>
      <font>
        <b val="0"/>
        <i val="0"/>
        <strike val="0"/>
        <condense val="0"/>
        <extend val="0"/>
        <outline val="0"/>
        <shadow val="0"/>
        <u val="none"/>
        <vertAlign val="baseline"/>
        <sz val="9"/>
        <color theme="1"/>
        <name val="Calibri"/>
        <family val="2"/>
        <scheme val="minor"/>
      </font>
      <numFmt numFmtId="167" formatCode="_ [$₹-4009]\ * #,##0.00_ ;_ [$₹-4009]\ * \-#,##0.00_ ;_ [$₹-4009]\ * &quot;-&quot;??_ ;_ @_ "/>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auto="1"/>
        <name val="Calibri"/>
        <family val="2"/>
        <scheme val="minor"/>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medium">
          <color rgb="FF000000"/>
        </left>
        <right style="thin">
          <color auto="1"/>
        </right>
      </border>
    </dxf>
    <dxf>
      <font>
        <b/>
        <i val="0"/>
        <strike val="0"/>
        <condense val="0"/>
        <extend val="0"/>
        <outline val="0"/>
        <shadow val="0"/>
        <u val="none"/>
        <vertAlign val="baseline"/>
        <sz val="10"/>
        <color auto="1"/>
        <name val="Calibri"/>
        <family val="2"/>
        <scheme val="minor"/>
      </font>
      <fill>
        <patternFill patternType="solid">
          <fgColor indexed="64"/>
          <bgColor indexed="22"/>
        </patternFill>
      </fill>
      <alignment horizontal="center" vertical="center" textRotation="0" wrapText="0" indent="0" justifyLastLine="0" shrinkToFit="0" readingOrder="0"/>
    </dxf>
    <dxf>
      <numFmt numFmtId="170" formatCode="\ "/>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fill>
        <patternFill patternType="solid">
          <fgColor indexed="64"/>
          <bgColor indexed="9"/>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numFmt numFmtId="165" formatCode="&quot;₹&quot;\ #,##0.00"/>
      <fill>
        <patternFill patternType="solid">
          <fgColor indexed="64"/>
          <bgColor indexed="9"/>
        </patternFill>
      </fill>
      <alignment horizontal="center" vertical="center" textRotation="0" wrapText="1" indent="0" justifyLastLine="0" shrinkToFit="0" readingOrder="0"/>
      <border diagonalUp="0" diagonalDown="0">
        <left style="thin">
          <color auto="1"/>
        </left>
        <right style="medium">
          <color indexed="64"/>
        </right>
        <top style="thin">
          <color auto="1"/>
        </top>
        <bottom style="thin">
          <color auto="1"/>
        </bottom>
        <vertical/>
        <horizontal/>
      </border>
      <protection locked="1" hidden="0"/>
    </dxf>
    <dxf>
      <font>
        <b val="0"/>
        <i val="0"/>
        <strike val="0"/>
        <condense val="0"/>
        <extend val="0"/>
        <outline val="0"/>
        <shadow val="0"/>
        <u val="none"/>
        <vertAlign val="baseline"/>
        <sz val="9"/>
        <color theme="1"/>
        <name val="Calibri"/>
        <family val="2"/>
        <scheme val="minor"/>
      </font>
      <numFmt numFmtId="167" formatCode="_ [$₹-4009]\ * #,##0.00_ ;_ [$₹-4009]\ * \-#,##0.00_ ;_ [$₹-4009]\ * &quot;-&quot;??_ ;_ @_ "/>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auto="1"/>
        <name val="Calibri"/>
        <family val="2"/>
        <scheme val="minor"/>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medium">
          <color rgb="FF000000"/>
        </left>
        <right style="thin">
          <color auto="1"/>
        </right>
      </border>
    </dxf>
    <dxf>
      <font>
        <b/>
        <i val="0"/>
        <strike val="0"/>
        <condense val="0"/>
        <extend val="0"/>
        <outline val="0"/>
        <shadow val="0"/>
        <u val="none"/>
        <vertAlign val="baseline"/>
        <sz val="10"/>
        <color auto="1"/>
        <name val="Calibri"/>
        <family val="2"/>
        <scheme val="minor"/>
      </font>
      <fill>
        <patternFill patternType="solid">
          <fgColor indexed="64"/>
          <bgColor indexed="22"/>
        </patternFill>
      </fill>
      <alignment horizontal="center" vertical="center" textRotation="0" wrapText="0" indent="0" justifyLastLine="0" shrinkToFit="0" readingOrder="0"/>
    </dxf>
    <dxf>
      <numFmt numFmtId="170" formatCode="\ "/>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fill>
        <patternFill patternType="solid">
          <fgColor indexed="64"/>
          <bgColor indexed="9"/>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Calibri"/>
        <family val="2"/>
        <scheme val="minor"/>
      </font>
      <numFmt numFmtId="165" formatCode="&quot;₹&quot;\ #,##0.00"/>
      <fill>
        <patternFill patternType="solid">
          <fgColor indexed="64"/>
          <bgColor indexed="9"/>
        </patternFill>
      </fill>
      <alignment horizontal="center" vertical="center" textRotation="0" wrapText="1" indent="0" justifyLastLine="0" shrinkToFit="0" readingOrder="0"/>
      <border diagonalUp="0" diagonalDown="0">
        <left style="thin">
          <color auto="1"/>
        </left>
        <right style="medium">
          <color indexed="64"/>
        </right>
        <top style="thin">
          <color auto="1"/>
        </top>
        <bottom style="thin">
          <color auto="1"/>
        </bottom>
        <vertical/>
        <horizontal/>
      </border>
      <protection locked="1" hidden="0"/>
    </dxf>
    <dxf>
      <font>
        <b val="0"/>
        <i val="0"/>
        <strike val="0"/>
        <condense val="0"/>
        <extend val="0"/>
        <outline val="0"/>
        <shadow val="0"/>
        <u val="none"/>
        <vertAlign val="baseline"/>
        <sz val="9"/>
        <color theme="1"/>
        <name val="Calibri"/>
        <family val="2"/>
        <scheme val="minor"/>
      </font>
      <numFmt numFmtId="167" formatCode="_ [$₹-4009]\ * #,##0.00_ ;_ [$₹-4009]\ * \-#,##0.00_ ;_ [$₹-4009]\ * &quot;-&quot;??_ ;_ @_ "/>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9"/>
        <color theme="1"/>
        <name val="Calibri"/>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auto="1"/>
        <name val="Calibri"/>
        <family val="2"/>
        <scheme val="minor"/>
      </font>
      <alignment horizontal="general"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medium">
          <color indexed="64"/>
        </left>
        <right style="thin">
          <color auto="1"/>
        </right>
      </border>
    </dxf>
    <dxf>
      <font>
        <b/>
        <i val="0"/>
        <strike val="0"/>
        <condense val="0"/>
        <extend val="0"/>
        <outline val="0"/>
        <shadow val="0"/>
        <u val="none"/>
        <vertAlign val="baseline"/>
        <sz val="10"/>
        <color auto="1"/>
        <name val="Calibri"/>
        <family val="2"/>
        <scheme val="minor"/>
      </font>
      <fill>
        <patternFill patternType="solid">
          <fgColor indexed="64"/>
          <bgColor indexed="22"/>
        </patternFill>
      </fill>
      <alignment horizontal="center" vertical="center" textRotation="0" wrapText="0" indent="0" justifyLastLine="0" shrinkToFit="0" readingOrder="0"/>
    </dxf>
    <dxf>
      <numFmt numFmtId="170" formatCode="\ "/>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8B5F3D-F501-4DCD-B33D-4571F57C3A88}" name="Table2" displayName="Table2" ref="A16:J23" totalsRowShown="0" headerRowDxfId="37" tableBorderDxfId="36" headerRowCellStyle="Normal_Sheet1">
  <autoFilter ref="A16:J23" xr:uid="{CB8B5F3D-F501-4DCD-B33D-4571F57C3A88}"/>
  <tableColumns count="10">
    <tableColumn id="1" xr3:uid="{52A851F8-F4A3-4FB2-B64B-1DBC4482E450}" name="Sl No" dataDxfId="35" dataCellStyle="Normal 2 2"/>
    <tableColumn id="2" xr3:uid="{398692DA-AC19-4063-8040-06B194D10BB8}" name="Description" dataDxfId="34"/>
    <tableColumn id="3" xr3:uid="{566A2DC9-A50D-4C9D-919D-CD302D3C8502}" name="Make" dataDxfId="33">
      <calculatedColumnFormula>_xlfn.XLOOKUP(B17, BOQ!$B$2:$B$1000, BOQ!$C$2:$C$1000, "Not found")</calculatedColumnFormula>
    </tableColumn>
    <tableColumn id="4" xr3:uid="{B3D7D2CD-C59D-4F6A-9E8B-76863C8DAB9F}" name="Model number" dataDxfId="32">
      <calculatedColumnFormula>_xlfn.XLOOKUP(B17, BOQ!$B$2:$B$1000, BOQ!$D$2:$D$1000, "Not found")</calculatedColumnFormula>
    </tableColumn>
    <tableColumn id="5" xr3:uid="{316711A1-7B31-46F8-AE7D-8174F606B69D}" name="UOM" dataDxfId="31">
      <calculatedColumnFormula>_xlfn.XLOOKUP(B17, BOQ!$B$2:$B$1000, BOQ!$E$2:$E$1000, "Not found")</calculatedColumnFormula>
    </tableColumn>
    <tableColumn id="6" xr3:uid="{7E1B4A01-5DE4-4D64-B29E-25B6A536B5C7}" name="Qty" dataDxfId="30"/>
    <tableColumn id="7" xr3:uid="{116B7FCF-E5B6-43C0-9634-D851BDD652D9}" name="Unit Inr" dataDxfId="29"/>
    <tableColumn id="8" xr3:uid="{7DA1B04F-8D24-444A-BFD7-382E12DF9441}" name="TOTAL" dataDxfId="28" dataCellStyle="Comma">
      <calculatedColumnFormula>G17*F17</calculatedColumnFormula>
    </tableColumn>
    <tableColumn id="9" xr3:uid="{C76DCD7C-DA6C-4558-82CC-2BE4C0F6D558}" name="Column1" dataDxfId="27"/>
    <tableColumn id="10" xr3:uid="{61FDB5A5-49E0-45A3-A8F3-29D9C9EB006B}" name="Max Qty as per BOQ for refernce" dataDxfId="26">
      <calculatedColumnFormula>_xlfn.XLOOKUP(B17, BOQ!$B$2:$B$1000, BOQ!$F$2:$F$1000, "Not found")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71CD3EA-3EE5-4293-960B-AEF9B524C93E}" name="Table24" displayName="Table24" ref="A16:J23" totalsRowShown="0" headerRowDxfId="24" tableBorderDxfId="23" headerRowCellStyle="Normal_Sheet1">
  <autoFilter ref="A16:J23" xr:uid="{CB8B5F3D-F501-4DCD-B33D-4571F57C3A88}"/>
  <tableColumns count="10">
    <tableColumn id="1" xr3:uid="{91F72C2A-8AFD-4C06-A0A8-B2E35E062865}" name="Sl No" dataDxfId="22" dataCellStyle="Normal 2 2"/>
    <tableColumn id="2" xr3:uid="{6F76F5BF-2960-43C7-AB65-05CADEF49E79}" name="Description" dataDxfId="21"/>
    <tableColumn id="3" xr3:uid="{178C48E2-3CD0-46CB-A569-0EAD7E3BC0F2}" name="Make" dataDxfId="20">
      <calculatedColumnFormula>_xlfn.XLOOKUP(B17, BOQ!$B$2:$B$1000, BOQ!$C$2:$C$1000, "Not found")</calculatedColumnFormula>
    </tableColumn>
    <tableColumn id="4" xr3:uid="{5DA78D12-BE08-429E-91BF-DCAEFE33D992}" name="Model number" dataDxfId="19">
      <calculatedColumnFormula>_xlfn.XLOOKUP(B17, BOQ!$B$2:$B$1000, BOQ!$D$2:$D$1000, "Not found")</calculatedColumnFormula>
    </tableColumn>
    <tableColumn id="5" xr3:uid="{66272C66-5580-40D9-A6F7-2279E4B147A9}" name="UOM" dataDxfId="18">
      <calculatedColumnFormula>_xlfn.XLOOKUP(B17, BOQ!$B$2:$B$1000, BOQ!$E$2:$E$1000, "Not found")</calculatedColumnFormula>
    </tableColumn>
    <tableColumn id="6" xr3:uid="{D7B22586-D93D-42A5-A69B-E8CC394919C2}" name="Qty" dataDxfId="17"/>
    <tableColumn id="7" xr3:uid="{7C280558-CF13-4FAC-8CEE-F86B8EB24302}" name="Unit Inr" dataDxfId="16"/>
    <tableColumn id="8" xr3:uid="{1D5A32B3-5AFD-41B7-BA00-BB5C014F1588}" name="TOTAL" dataDxfId="15" dataCellStyle="Comma">
      <calculatedColumnFormula>G17*F17</calculatedColumnFormula>
    </tableColumn>
    <tableColumn id="9" xr3:uid="{08EEE3E6-19BB-4FD8-9971-D635EEB8EF64}" name="Column1" dataDxfId="14"/>
    <tableColumn id="10" xr3:uid="{7237C33F-3D3A-4530-8EFD-CDC0C1572958}" name="Max Qty as per BOQ for refernce" dataDxfId="13">
      <calculatedColumnFormula>_xlfn.XLOOKUP(B17, BOQ!$B$2:$B$1000, BOQ!$F$2:$F$1000, "Not found")</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E4084A5-9D0A-41A1-8101-6ABBA1D84D7B}" name="Table246" displayName="Table246" ref="A16:J23" totalsRowShown="0" headerRowDxfId="11" tableBorderDxfId="10" headerRowCellStyle="Normal_Sheet1">
  <autoFilter ref="A16:J23" xr:uid="{7E4084A5-9D0A-41A1-8101-6ABBA1D84D7B}"/>
  <tableColumns count="10">
    <tableColumn id="1" xr3:uid="{FC850F7F-F065-40CA-97BC-18BA5B734924}" name="Sl No" dataDxfId="9" dataCellStyle="Normal 2 2"/>
    <tableColumn id="2" xr3:uid="{A4818CDE-E5E2-437C-B523-BFE8941C1D90}" name="Description" dataDxfId="8"/>
    <tableColumn id="3" xr3:uid="{7D5317F5-2C58-49F5-9167-A4B740E8A00C}" name="Make" dataDxfId="7">
      <calculatedColumnFormula>_xlfn.XLOOKUP(B17, BOQ!$B$2:$B$1000, BOQ!$C$2:$C$1000, "Not found")</calculatedColumnFormula>
    </tableColumn>
    <tableColumn id="4" xr3:uid="{67B5CB16-D178-4D53-AC49-5A55E670CDC1}" name="Model number" dataDxfId="6">
      <calculatedColumnFormula>_xlfn.XLOOKUP(B17, BOQ!$B$2:$B$1000, BOQ!$D$2:$D$1000, "Not found")</calculatedColumnFormula>
    </tableColumn>
    <tableColumn id="5" xr3:uid="{FB18B52E-BF83-4EB5-B078-CF460435F864}" name="UOM" dataDxfId="5">
      <calculatedColumnFormula>_xlfn.XLOOKUP(B17, BOQ!$B$2:$B$1000, BOQ!$E$2:$E$1000, "Not found")</calculatedColumnFormula>
    </tableColumn>
    <tableColumn id="6" xr3:uid="{D9FC82C1-1187-40E0-80B2-0F04E1D1B89C}" name="Qty" dataDxfId="4"/>
    <tableColumn id="7" xr3:uid="{9C7BF3A2-C64C-455A-91DA-FA1432689EF5}" name="Unit Inr" dataDxfId="3"/>
    <tableColumn id="8" xr3:uid="{B18D6B64-AE34-438B-83A4-7EE9F469CF74}" name="TOTAL" dataDxfId="2" dataCellStyle="Comma">
      <calculatedColumnFormula>G17*F17</calculatedColumnFormula>
    </tableColumn>
    <tableColumn id="9" xr3:uid="{BF68C202-7D3D-4A19-BF2C-827BC590A0F6}" name="Column1" dataDxfId="1"/>
    <tableColumn id="10" xr3:uid="{DB6C446B-E7AE-4753-8B30-7FA7F74C7E7E}" name="Max Qty as per BOQ for refernce" dataDxfId="0">
      <calculatedColumnFormula>_xlfn.XLOOKUP(B17, BOQ!$B$2:$B$1000, BOQ!$F$2:$F$1000, "Not found")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572A3-E388-4A84-80A1-E41818EEF860}">
  <sheetPr codeName="Sheet1"/>
  <dimension ref="A1:B5"/>
  <sheetViews>
    <sheetView zoomScale="68" zoomScaleNormal="68" workbookViewId="0">
      <selection activeCell="I1" sqref="I1:R3"/>
    </sheetView>
  </sheetViews>
  <sheetFormatPr defaultRowHeight="14.4" x14ac:dyDescent="0.3"/>
  <cols>
    <col min="1" max="1" width="41.33203125" customWidth="1"/>
  </cols>
  <sheetData>
    <row r="1" spans="1:2" x14ac:dyDescent="0.3">
      <c r="A1" t="s">
        <v>277</v>
      </c>
      <c r="B1">
        <f>SUM(BOQ!F2:F499)</f>
        <v>11291</v>
      </c>
    </row>
    <row r="2" spans="1:2" x14ac:dyDescent="0.3">
      <c r="A2" t="s">
        <v>18</v>
      </c>
      <c r="B2">
        <f>SUM(BOQ!T2:T499)</f>
        <v>11284</v>
      </c>
    </row>
    <row r="4" spans="1:2" x14ac:dyDescent="0.3">
      <c r="A4" t="s">
        <v>278</v>
      </c>
      <c r="B4">
        <f>COUNTA(BOQ!F2:F499)</f>
        <v>120</v>
      </c>
    </row>
    <row r="5" spans="1:2" x14ac:dyDescent="0.3">
      <c r="A5" t="s">
        <v>279</v>
      </c>
      <c r="B5">
        <f>COUNTIF(BOQ!T2:T499,"&gt;0")</f>
        <v>119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0127B-FA09-4D21-963C-81B11CF34DA8}">
  <sheetPr codeName="Sheet3">
    <pageSetUpPr fitToPage="1"/>
  </sheetPr>
  <dimension ref="A1:J131"/>
  <sheetViews>
    <sheetView zoomScale="68" zoomScaleNormal="68" workbookViewId="0">
      <selection activeCell="I1" sqref="I1:R3"/>
    </sheetView>
  </sheetViews>
  <sheetFormatPr defaultRowHeight="12" x14ac:dyDescent="0.3"/>
  <cols>
    <col min="1" max="1" width="6.21875" style="16" customWidth="1"/>
    <col min="2" max="2" width="9.33203125" style="16" customWidth="1"/>
    <col min="3" max="3" width="47.6640625" style="15" customWidth="1"/>
    <col min="4" max="4" width="20.44140625" style="16" customWidth="1"/>
    <col min="5" max="5" width="18.33203125" style="59" customWidth="1"/>
    <col min="6" max="6" width="13.44140625" style="16" customWidth="1"/>
    <col min="7" max="8" width="8.88671875" style="16"/>
    <col min="9" max="16384" width="8.88671875" style="15"/>
  </cols>
  <sheetData>
    <row r="1" spans="1:10" ht="13.8" x14ac:dyDescent="0.3">
      <c r="A1" s="21"/>
      <c r="B1" s="22"/>
      <c r="C1" s="22"/>
      <c r="D1" s="23"/>
      <c r="E1" s="58"/>
      <c r="F1" s="23"/>
      <c r="G1" s="23"/>
      <c r="H1" s="24" t="s">
        <v>282</v>
      </c>
    </row>
    <row r="2" spans="1:10" ht="14.4" x14ac:dyDescent="0.3">
      <c r="A2" s="25" t="s">
        <v>294</v>
      </c>
      <c r="B2" s="20"/>
      <c r="C2" s="50"/>
      <c r="D2" s="144" t="s">
        <v>283</v>
      </c>
      <c r="E2" s="144"/>
      <c r="F2" s="144"/>
      <c r="G2" s="144"/>
      <c r="H2" s="145"/>
    </row>
    <row r="3" spans="1:10" ht="14.4" x14ac:dyDescent="0.3">
      <c r="A3" s="26" t="s">
        <v>293</v>
      </c>
      <c r="B3" s="154">
        <v>45836</v>
      </c>
      <c r="C3" s="155"/>
      <c r="D3" s="144"/>
      <c r="E3" s="144"/>
      <c r="F3" s="144"/>
      <c r="G3" s="144"/>
      <c r="H3" s="145"/>
    </row>
    <row r="4" spans="1:10" ht="14.4" x14ac:dyDescent="0.3">
      <c r="A4" s="146" t="s">
        <v>295</v>
      </c>
      <c r="B4" s="147"/>
      <c r="C4" s="147"/>
      <c r="D4" s="148" t="s">
        <v>299</v>
      </c>
      <c r="E4" s="148"/>
      <c r="F4" s="148"/>
      <c r="G4" s="148"/>
      <c r="H4" s="149"/>
    </row>
    <row r="5" spans="1:10" ht="79.8" customHeight="1" x14ac:dyDescent="0.3">
      <c r="A5" s="156" t="s">
        <v>296</v>
      </c>
      <c r="B5" s="157"/>
      <c r="C5" s="157"/>
      <c r="D5" s="150" t="s">
        <v>301</v>
      </c>
      <c r="E5" s="150"/>
      <c r="F5" s="150"/>
      <c r="G5" s="150"/>
      <c r="H5" s="151"/>
    </row>
    <row r="6" spans="1:10" s="17" customFormat="1" ht="14.4" customHeight="1" x14ac:dyDescent="0.3">
      <c r="A6" s="152" t="s">
        <v>284</v>
      </c>
      <c r="B6" s="153"/>
      <c r="C6" s="153"/>
      <c r="D6" s="150" t="s">
        <v>285</v>
      </c>
      <c r="E6" s="150"/>
      <c r="F6" s="150"/>
      <c r="G6" s="150"/>
      <c r="H6" s="151"/>
      <c r="J6" s="17" t="s">
        <v>300</v>
      </c>
    </row>
    <row r="7" spans="1:10" ht="12.6" thickBot="1" x14ac:dyDescent="0.35">
      <c r="A7" s="27"/>
      <c r="B7" s="28"/>
      <c r="C7" s="28"/>
      <c r="H7" s="29"/>
    </row>
    <row r="8" spans="1:10" s="18" customFormat="1" ht="13.8" x14ac:dyDescent="0.3">
      <c r="A8" s="45" t="s">
        <v>292</v>
      </c>
      <c r="B8" s="46" t="s">
        <v>0</v>
      </c>
      <c r="C8" s="46" t="s">
        <v>1</v>
      </c>
      <c r="D8" s="46" t="s">
        <v>2</v>
      </c>
      <c r="E8" s="46" t="s">
        <v>3</v>
      </c>
      <c r="F8" s="46" t="s">
        <v>286</v>
      </c>
      <c r="G8" s="46" t="s">
        <v>4</v>
      </c>
      <c r="H8" s="47" t="s">
        <v>281</v>
      </c>
    </row>
    <row r="9" spans="1:10" ht="48" x14ac:dyDescent="0.3">
      <c r="A9" s="30">
        <v>1</v>
      </c>
      <c r="B9" s="19">
        <f>_xlfn.XLOOKUP(C9, BOQ!$B$2:$B$1000, BOQ!$A$2:$A$1000, "Not found")</f>
        <v>14.01</v>
      </c>
      <c r="C9" s="51" t="s">
        <v>178</v>
      </c>
      <c r="D9" s="19" t="str">
        <f>_xlfn.XLOOKUP(C9, BOQ!$B$2:$B$1000, BOQ!$C$2:$C$1000, "Not found")</f>
        <v>TYCO</v>
      </c>
      <c r="E9" s="60" t="str">
        <f>_xlfn.XLOOKUP(C9, BOQ!$B$2:$B$1000, BOQ!$D$2:$D$1000, "Not found")</f>
        <v>ISE-V04F284-N + ISMNDCB01</v>
      </c>
      <c r="F9" s="55"/>
      <c r="G9" s="19" t="str">
        <f>_xlfn.XLOOKUP(C9, BOQ!$B$2:$B$1000, BOQ!$E$2:$E$1000, "Not found")</f>
        <v>No.</v>
      </c>
      <c r="H9" s="53">
        <v>49</v>
      </c>
      <c r="J9" s="19">
        <f>_xlfn.XLOOKUP(C9, BOQ!$B$2:$B$1000, BOQ!$F$2:$F$1000, "Not found")</f>
        <v>49</v>
      </c>
    </row>
    <row r="10" spans="1:10" ht="132" x14ac:dyDescent="0.3">
      <c r="A10" s="30">
        <v>2</v>
      </c>
      <c r="B10" s="19">
        <f>_xlfn.XLOOKUP(C10, BOQ!$B$2:$B$1000, BOQ!$A$2:$A$1000, "Not found")</f>
        <v>12.01</v>
      </c>
      <c r="C10" s="51" t="s">
        <v>20</v>
      </c>
      <c r="D10" s="19" t="str">
        <f>_xlfn.XLOOKUP(C10, BOQ!$B$2:$B$1000, BOQ!$C$2:$C$1000, "Not found")</f>
        <v>Samsung</v>
      </c>
      <c r="E10" s="60" t="str">
        <f>_xlfn.XLOOKUP(C10, BOQ!$B$2:$B$1000, BOQ!$D$2:$D$1000, "Not found")</f>
        <v>QM55 C</v>
      </c>
      <c r="F10" s="55"/>
      <c r="G10" s="19" t="str">
        <f>_xlfn.XLOOKUP(C10, BOQ!$B$2:$B$1000, BOQ!$E$2:$E$1000, "Not found")</f>
        <v>No.</v>
      </c>
      <c r="H10" s="53">
        <v>6</v>
      </c>
      <c r="J10" s="19">
        <f>_xlfn.XLOOKUP(C10, BOQ!$B$2:$B$1000, BOQ!$F$2:$F$1000, "Not found")</f>
        <v>7</v>
      </c>
    </row>
    <row r="11" spans="1:10" ht="156" x14ac:dyDescent="0.3">
      <c r="A11" s="30">
        <v>3</v>
      </c>
      <c r="B11" s="19" t="str">
        <f>_xlfn.XLOOKUP(C11, BOQ!$B$2:$B$1000, BOQ!$A$2:$A$1000, "Not found")</f>
        <v>10.17.2</v>
      </c>
      <c r="C11" s="51" t="s">
        <v>262</v>
      </c>
      <c r="D11" s="19"/>
      <c r="E11" s="60">
        <f>_xlfn.XLOOKUP(C11, BOQ!$B$2:$B$1000, BOQ!$D$2:$D$1000, "Not found")</f>
        <v>0</v>
      </c>
      <c r="F11" s="55"/>
      <c r="G11" s="19" t="str">
        <f>_xlfn.XLOOKUP(C11, BOQ!$B$2:$B$1000, BOQ!$E$2:$E$1000, "Not found")</f>
        <v>Mtr</v>
      </c>
      <c r="H11" s="53"/>
      <c r="J11" s="19">
        <f>_xlfn.XLOOKUP(C11, BOQ!$B$2:$B$1000, BOQ!$F$2:$F$1000, "Not found")</f>
        <v>10</v>
      </c>
    </row>
    <row r="12" spans="1:10" x14ac:dyDescent="0.3">
      <c r="A12" s="30">
        <v>4</v>
      </c>
      <c r="B12" s="19">
        <f>_xlfn.XLOOKUP(C12, BOQ!$B$2:$B$1000, BOQ!$A$2:$A$1000, "Not found")</f>
        <v>0</v>
      </c>
      <c r="C12" s="51"/>
      <c r="D12" s="19">
        <f>_xlfn.XLOOKUP(C12, BOQ!$B$2:$B$1000, BOQ!$C$2:$C$1000, "Not found")</f>
        <v>0</v>
      </c>
      <c r="E12" s="60">
        <f>_xlfn.XLOOKUP(C12, BOQ!$B$2:$B$1000, BOQ!$D$2:$D$1000, "Not found")</f>
        <v>0</v>
      </c>
      <c r="F12" s="55"/>
      <c r="G12" s="19">
        <f>_xlfn.XLOOKUP(C12, BOQ!$B$2:$B$1000, BOQ!$E$2:$E$1000, "Not found")</f>
        <v>0</v>
      </c>
      <c r="H12" s="53"/>
      <c r="J12" s="19">
        <f>_xlfn.XLOOKUP(C12, BOQ!$B$2:$B$1000, BOQ!$F$2:$F$1000, "Not found")</f>
        <v>0</v>
      </c>
    </row>
    <row r="13" spans="1:10" x14ac:dyDescent="0.3">
      <c r="A13" s="30">
        <v>5</v>
      </c>
      <c r="B13" s="19">
        <f>_xlfn.XLOOKUP(C13, BOQ!$B$2:$B$1000, BOQ!$A$2:$A$1000, "Not found")</f>
        <v>0</v>
      </c>
      <c r="C13" s="51"/>
      <c r="D13" s="19">
        <f>_xlfn.XLOOKUP(C13, BOQ!$B$2:$B$1000, BOQ!$C$2:$C$1000, "Not found")</f>
        <v>0</v>
      </c>
      <c r="E13" s="60">
        <f>_xlfn.XLOOKUP(C13, BOQ!$B$2:$B$1000, BOQ!$D$2:$D$1000, "Not found")</f>
        <v>0</v>
      </c>
      <c r="F13" s="55"/>
      <c r="G13" s="19">
        <f>_xlfn.XLOOKUP(C13, BOQ!$B$2:$B$1000, BOQ!$E$2:$E$1000, "Not found")</f>
        <v>0</v>
      </c>
      <c r="H13" s="53"/>
      <c r="J13" s="19">
        <f>_xlfn.XLOOKUP(C13, BOQ!$B$2:$B$1000, BOQ!$F$2:$F$1000, "Not found")</f>
        <v>0</v>
      </c>
    </row>
    <row r="14" spans="1:10" x14ac:dyDescent="0.3">
      <c r="A14" s="30">
        <v>6</v>
      </c>
      <c r="B14" s="19">
        <f>_xlfn.XLOOKUP(C14, BOQ!$B$2:$B$1000, BOQ!$A$2:$A$1000, "Not found")</f>
        <v>0</v>
      </c>
      <c r="C14" s="51"/>
      <c r="D14" s="19">
        <f>_xlfn.XLOOKUP(C14, BOQ!$B$2:$B$1000, BOQ!$C$2:$C$1000, "Not found")</f>
        <v>0</v>
      </c>
      <c r="E14" s="60">
        <f>_xlfn.XLOOKUP(C14, BOQ!$B$2:$B$1000, BOQ!$D$2:$D$1000, "Not found")</f>
        <v>0</v>
      </c>
      <c r="F14" s="55"/>
      <c r="G14" s="19">
        <f>_xlfn.XLOOKUP(C14, BOQ!$B$2:$B$1000, BOQ!$E$2:$E$1000, "Not found")</f>
        <v>0</v>
      </c>
      <c r="H14" s="53"/>
      <c r="J14" s="19">
        <f>_xlfn.XLOOKUP(C14, BOQ!$B$2:$B$1000, BOQ!$F$2:$F$1000, "Not found")</f>
        <v>0</v>
      </c>
    </row>
    <row r="15" spans="1:10" x14ac:dyDescent="0.3">
      <c r="A15" s="30">
        <v>7</v>
      </c>
      <c r="B15" s="19">
        <f>_xlfn.XLOOKUP(C15, BOQ!$B$2:$B$1000, BOQ!$A$2:$A$1000, "Not found")</f>
        <v>0</v>
      </c>
      <c r="C15" s="51"/>
      <c r="D15" s="19">
        <f>_xlfn.XLOOKUP(C15, BOQ!$B$2:$B$1000, BOQ!$C$2:$C$1000, "Not found")</f>
        <v>0</v>
      </c>
      <c r="E15" s="60">
        <f>_xlfn.XLOOKUP(C15, BOQ!$B$2:$B$1000, BOQ!$D$2:$D$1000, "Not found")</f>
        <v>0</v>
      </c>
      <c r="F15" s="55"/>
      <c r="G15" s="19">
        <f>_xlfn.XLOOKUP(C15, BOQ!$B$2:$B$1000, BOQ!$E$2:$E$1000, "Not found")</f>
        <v>0</v>
      </c>
      <c r="H15" s="53"/>
      <c r="J15" s="19">
        <f>_xlfn.XLOOKUP(C15, BOQ!$B$2:$B$1000, BOQ!$F$2:$F$1000, "Not found")</f>
        <v>0</v>
      </c>
    </row>
    <row r="16" spans="1:10" x14ac:dyDescent="0.3">
      <c r="A16" s="30">
        <v>8</v>
      </c>
      <c r="B16" s="19">
        <f>_xlfn.XLOOKUP(C16, BOQ!$B$2:$B$1000, BOQ!$A$2:$A$1000, "Not found")</f>
        <v>0</v>
      </c>
      <c r="C16" s="51"/>
      <c r="D16" s="19">
        <f>_xlfn.XLOOKUP(C16, BOQ!$B$2:$B$1000, BOQ!$C$2:$C$1000, "Not found")</f>
        <v>0</v>
      </c>
      <c r="E16" s="60">
        <f>_xlfn.XLOOKUP(C16, BOQ!$B$2:$B$1000, BOQ!$D$2:$D$1000, "Not found")</f>
        <v>0</v>
      </c>
      <c r="F16" s="55"/>
      <c r="G16" s="19">
        <f>_xlfn.XLOOKUP(C16, BOQ!$B$2:$B$1000, BOQ!$E$2:$E$1000, "Not found")</f>
        <v>0</v>
      </c>
      <c r="H16" s="53"/>
      <c r="J16" s="19">
        <f>_xlfn.XLOOKUP(C16, BOQ!$B$2:$B$1000, BOQ!$F$2:$F$1000, "Not found")</f>
        <v>0</v>
      </c>
    </row>
    <row r="17" spans="1:10" x14ac:dyDescent="0.3">
      <c r="A17" s="30">
        <v>9</v>
      </c>
      <c r="B17" s="19">
        <f>_xlfn.XLOOKUP(C17, BOQ!$B$2:$B$1000, BOQ!$A$2:$A$1000, "Not found")</f>
        <v>0</v>
      </c>
      <c r="C17" s="51"/>
      <c r="D17" s="19">
        <f>_xlfn.XLOOKUP(C17, BOQ!$B$2:$B$1000, BOQ!$C$2:$C$1000, "Not found")</f>
        <v>0</v>
      </c>
      <c r="E17" s="60">
        <f>_xlfn.XLOOKUP(C17, BOQ!$B$2:$B$1000, BOQ!$D$2:$D$1000, "Not found")</f>
        <v>0</v>
      </c>
      <c r="F17" s="55"/>
      <c r="G17" s="19">
        <f>_xlfn.XLOOKUP(C17, BOQ!$B$2:$B$1000, BOQ!$E$2:$E$1000, "Not found")</f>
        <v>0</v>
      </c>
      <c r="H17" s="53"/>
      <c r="J17" s="19">
        <f>_xlfn.XLOOKUP(C17, BOQ!$B$2:$B$1000, BOQ!$F$2:$F$1000, "Not found")</f>
        <v>0</v>
      </c>
    </row>
    <row r="18" spans="1:10" x14ac:dyDescent="0.3">
      <c r="A18" s="30">
        <v>10</v>
      </c>
      <c r="B18" s="19">
        <f>_xlfn.XLOOKUP(C18, BOQ!$B$2:$B$1000, BOQ!$A$2:$A$1000, "Not found")</f>
        <v>0</v>
      </c>
      <c r="C18" s="51"/>
      <c r="D18" s="19">
        <f>_xlfn.XLOOKUP(C18, BOQ!$B$2:$B$1000, BOQ!$C$2:$C$1000, "Not found")</f>
        <v>0</v>
      </c>
      <c r="E18" s="60">
        <f>_xlfn.XLOOKUP(C18, BOQ!$B$2:$B$1000, BOQ!$D$2:$D$1000, "Not found")</f>
        <v>0</v>
      </c>
      <c r="F18" s="55"/>
      <c r="G18" s="19">
        <f>_xlfn.XLOOKUP(C18, BOQ!$B$2:$B$1000, BOQ!$E$2:$E$1000, "Not found")</f>
        <v>0</v>
      </c>
      <c r="H18" s="53"/>
      <c r="J18" s="19">
        <f>_xlfn.XLOOKUP(C18, BOQ!$B$2:$B$1000, BOQ!$F$2:$F$1000, "Not found")</f>
        <v>0</v>
      </c>
    </row>
    <row r="19" spans="1:10" x14ac:dyDescent="0.3">
      <c r="A19" s="30">
        <v>11</v>
      </c>
      <c r="B19" s="19">
        <f>_xlfn.XLOOKUP(C19, BOQ!$B$2:$B$1000, BOQ!$A$2:$A$1000, "Not found")</f>
        <v>0</v>
      </c>
      <c r="C19" s="51"/>
      <c r="D19" s="19">
        <f>_xlfn.XLOOKUP(C19, BOQ!$B$2:$B$1000, BOQ!$C$2:$C$1000, "Not found")</f>
        <v>0</v>
      </c>
      <c r="E19" s="60">
        <f>_xlfn.XLOOKUP(C19, BOQ!$B$2:$B$1000, BOQ!$D$2:$D$1000, "Not found")</f>
        <v>0</v>
      </c>
      <c r="F19" s="55"/>
      <c r="G19" s="19">
        <f>_xlfn.XLOOKUP(C19, BOQ!$B$2:$B$1000, BOQ!$E$2:$E$1000, "Not found")</f>
        <v>0</v>
      </c>
      <c r="H19" s="53"/>
      <c r="J19" s="19">
        <f>_xlfn.XLOOKUP(C19, BOQ!$B$2:$B$1000, BOQ!$F$2:$F$1000, "Not found")</f>
        <v>0</v>
      </c>
    </row>
    <row r="20" spans="1:10" x14ac:dyDescent="0.3">
      <c r="A20" s="30">
        <v>12</v>
      </c>
      <c r="B20" s="19">
        <f>_xlfn.XLOOKUP(C20, BOQ!$B$2:$B$1000, BOQ!$A$2:$A$1000, "Not found")</f>
        <v>0</v>
      </c>
      <c r="C20" s="51"/>
      <c r="D20" s="19">
        <f>_xlfn.XLOOKUP(C20, BOQ!$B$2:$B$1000, BOQ!$C$2:$C$1000, "Not found")</f>
        <v>0</v>
      </c>
      <c r="E20" s="60">
        <f>_xlfn.XLOOKUP(C20, BOQ!$B$2:$B$1000, BOQ!$D$2:$D$1000, "Not found")</f>
        <v>0</v>
      </c>
      <c r="F20" s="55"/>
      <c r="G20" s="19">
        <f>_xlfn.XLOOKUP(C20, BOQ!$B$2:$B$1000, BOQ!$E$2:$E$1000, "Not found")</f>
        <v>0</v>
      </c>
      <c r="H20" s="53"/>
      <c r="J20" s="19">
        <f>_xlfn.XLOOKUP(C20, BOQ!$B$2:$B$1000, BOQ!$F$2:$F$1000, "Not found")</f>
        <v>0</v>
      </c>
    </row>
    <row r="21" spans="1:10" x14ac:dyDescent="0.3">
      <c r="A21" s="30">
        <v>13</v>
      </c>
      <c r="B21" s="19">
        <f>_xlfn.XLOOKUP(C21, BOQ!$B$2:$B$1000, BOQ!$A$2:$A$1000, "Not found")</f>
        <v>0</v>
      </c>
      <c r="C21" s="51"/>
      <c r="D21" s="19">
        <f>_xlfn.XLOOKUP(C21, BOQ!$B$2:$B$1000, BOQ!$C$2:$C$1000, "Not found")</f>
        <v>0</v>
      </c>
      <c r="E21" s="60">
        <f>_xlfn.XLOOKUP(C21, BOQ!$B$2:$B$1000, BOQ!$D$2:$D$1000, "Not found")</f>
        <v>0</v>
      </c>
      <c r="F21" s="55"/>
      <c r="G21" s="19">
        <f>_xlfn.XLOOKUP(C21, BOQ!$B$2:$B$1000, BOQ!$E$2:$E$1000, "Not found")</f>
        <v>0</v>
      </c>
      <c r="H21" s="53"/>
      <c r="J21" s="19">
        <f>_xlfn.XLOOKUP(C21, BOQ!$B$2:$B$1000, BOQ!$F$2:$F$1000, "Not found")</f>
        <v>0</v>
      </c>
    </row>
    <row r="22" spans="1:10" x14ac:dyDescent="0.3">
      <c r="A22" s="30">
        <v>14</v>
      </c>
      <c r="B22" s="19">
        <f>_xlfn.XLOOKUP(C22, BOQ!$B$2:$B$1000, BOQ!$A$2:$A$1000, "Not found")</f>
        <v>0</v>
      </c>
      <c r="C22" s="51"/>
      <c r="D22" s="19">
        <f>_xlfn.XLOOKUP(C22, BOQ!$B$2:$B$1000, BOQ!$C$2:$C$1000, "Not found")</f>
        <v>0</v>
      </c>
      <c r="E22" s="60">
        <f>_xlfn.XLOOKUP(C22, BOQ!$B$2:$B$1000, BOQ!$D$2:$D$1000, "Not found")</f>
        <v>0</v>
      </c>
      <c r="F22" s="55"/>
      <c r="G22" s="19">
        <f>_xlfn.XLOOKUP(C22, BOQ!$B$2:$B$1000, BOQ!$E$2:$E$1000, "Not found")</f>
        <v>0</v>
      </c>
      <c r="H22" s="53"/>
      <c r="J22" s="19">
        <f>_xlfn.XLOOKUP(C22, BOQ!$B$2:$B$1000, BOQ!$F$2:$F$1000, "Not found")</f>
        <v>0</v>
      </c>
    </row>
    <row r="23" spans="1:10" ht="12.6" thickBot="1" x14ac:dyDescent="0.35">
      <c r="A23" s="48">
        <v>15</v>
      </c>
      <c r="B23" s="49">
        <f>_xlfn.XLOOKUP(C23, BOQ!$B$2:$B$1000, BOQ!$A$2:$A$1000, "Not found")</f>
        <v>0</v>
      </c>
      <c r="C23" s="52"/>
      <c r="D23" s="49">
        <f>_xlfn.XLOOKUP(C23, BOQ!$B$2:$B$1000, BOQ!$C$2:$C$1000, "Not found")</f>
        <v>0</v>
      </c>
      <c r="E23" s="61">
        <f>_xlfn.XLOOKUP(C23, BOQ!$B$2:$B$1000, BOQ!$D$2:$D$1000, "Not found")</f>
        <v>0</v>
      </c>
      <c r="F23" s="56"/>
      <c r="G23" s="49">
        <f>_xlfn.XLOOKUP(C23, BOQ!$B$2:$B$1000, BOQ!$E$2:$E$1000, "Not found")</f>
        <v>0</v>
      </c>
      <c r="H23" s="54"/>
      <c r="J23" s="19">
        <f>_xlfn.XLOOKUP(C23, BOQ!$B$2:$B$1000, BOQ!$F$2:$F$1000, "Not found")</f>
        <v>0</v>
      </c>
    </row>
    <row r="24" spans="1:10" x14ac:dyDescent="0.3">
      <c r="A24" s="31"/>
      <c r="H24" s="29"/>
      <c r="J24" s="16"/>
    </row>
    <row r="25" spans="1:10" s="18" customFormat="1" ht="13.8" x14ac:dyDescent="0.3">
      <c r="A25" s="32" t="s">
        <v>297</v>
      </c>
      <c r="C25" s="57">
        <v>7655175</v>
      </c>
      <c r="D25" s="34"/>
      <c r="E25" s="62"/>
      <c r="F25" s="34"/>
      <c r="G25" s="34"/>
      <c r="H25" s="35"/>
    </row>
    <row r="26" spans="1:10" s="18" customFormat="1" ht="13.8" x14ac:dyDescent="0.3">
      <c r="A26" s="32" t="s">
        <v>298</v>
      </c>
      <c r="C26" s="33">
        <f>C25*18%</f>
        <v>1377931.5</v>
      </c>
      <c r="D26" s="34"/>
      <c r="E26" s="62"/>
      <c r="F26" s="34"/>
      <c r="G26" s="34"/>
      <c r="H26" s="35"/>
    </row>
    <row r="27" spans="1:10" s="18" customFormat="1" ht="13.8" x14ac:dyDescent="0.3">
      <c r="A27" s="32" t="s">
        <v>287</v>
      </c>
      <c r="C27" s="33">
        <f>SUM(C25:C26)</f>
        <v>9033106.5</v>
      </c>
      <c r="D27" s="34"/>
      <c r="E27" s="62"/>
      <c r="F27" s="34"/>
      <c r="G27" s="34"/>
      <c r="H27" s="35"/>
    </row>
    <row r="28" spans="1:10" x14ac:dyDescent="0.3">
      <c r="A28" s="27"/>
      <c r="B28" s="36"/>
      <c r="H28" s="29"/>
    </row>
    <row r="29" spans="1:10" s="17" customFormat="1" ht="13.8" x14ac:dyDescent="0.3">
      <c r="A29" s="37" t="s">
        <v>288</v>
      </c>
      <c r="B29" s="38"/>
      <c r="D29" s="39"/>
      <c r="E29" s="63"/>
      <c r="F29" s="39"/>
      <c r="G29" s="39"/>
      <c r="H29" s="40" t="s">
        <v>289</v>
      </c>
    </row>
    <row r="30" spans="1:10" s="17" customFormat="1" ht="13.8" x14ac:dyDescent="0.3">
      <c r="A30" s="37"/>
      <c r="B30" s="38"/>
      <c r="D30" s="39"/>
      <c r="E30" s="63"/>
      <c r="F30" s="39"/>
      <c r="G30" s="39"/>
      <c r="H30" s="40"/>
    </row>
    <row r="31" spans="1:10" s="17" customFormat="1" ht="13.8" x14ac:dyDescent="0.3">
      <c r="A31" s="37"/>
      <c r="B31" s="38"/>
      <c r="D31" s="39"/>
      <c r="E31" s="63"/>
      <c r="F31" s="39"/>
      <c r="G31" s="39"/>
      <c r="H31" s="40"/>
    </row>
    <row r="32" spans="1:10" s="17" customFormat="1" ht="13.8" x14ac:dyDescent="0.3">
      <c r="A32" s="37"/>
      <c r="B32" s="38"/>
      <c r="D32" s="39"/>
      <c r="E32" s="63"/>
      <c r="F32" s="39"/>
      <c r="G32" s="39"/>
      <c r="H32" s="40"/>
    </row>
    <row r="33" spans="1:8" s="17" customFormat="1" ht="13.8" x14ac:dyDescent="0.3">
      <c r="A33" s="37" t="s">
        <v>290</v>
      </c>
      <c r="B33" s="39"/>
      <c r="D33" s="39"/>
      <c r="E33" s="63"/>
      <c r="F33" s="39"/>
      <c r="G33" s="39"/>
      <c r="H33" s="40" t="s">
        <v>291</v>
      </c>
    </row>
    <row r="34" spans="1:8" ht="12.6" thickBot="1" x14ac:dyDescent="0.35">
      <c r="A34" s="41"/>
      <c r="B34" s="42"/>
      <c r="C34" s="43"/>
      <c r="D34" s="42"/>
      <c r="E34" s="64"/>
      <c r="F34" s="42"/>
      <c r="G34" s="42"/>
      <c r="H34" s="44"/>
    </row>
    <row r="118" spans="10:10" ht="13.8" x14ac:dyDescent="0.3">
      <c r="J118" s="17" t="s">
        <v>300</v>
      </c>
    </row>
    <row r="120" spans="10:10" ht="13.8" x14ac:dyDescent="0.3">
      <c r="J120" s="18"/>
    </row>
    <row r="121" spans="10:10" x14ac:dyDescent="0.3">
      <c r="J121" s="19">
        <f>_xlfn.XLOOKUP(C121, BOQ!$B$2:$B$1000, BOQ!$F$2:$F$1000, "Not found")</f>
        <v>0</v>
      </c>
    </row>
    <row r="122" spans="10:10" x14ac:dyDescent="0.3">
      <c r="J122" s="19">
        <f>_xlfn.XLOOKUP(C122, BOQ!$B$2:$B$1000, BOQ!$F$2:$F$1000, "Not found")</f>
        <v>0</v>
      </c>
    </row>
    <row r="123" spans="10:10" x14ac:dyDescent="0.3">
      <c r="J123" s="19">
        <f>_xlfn.XLOOKUP(C123, BOQ!$B$2:$B$1000, BOQ!$F$2:$F$1000, "Not found")</f>
        <v>0</v>
      </c>
    </row>
    <row r="124" spans="10:10" x14ac:dyDescent="0.3">
      <c r="J124" s="19">
        <f>_xlfn.XLOOKUP(C124, BOQ!$B$2:$B$1000, BOQ!$F$2:$F$1000, "Not found")</f>
        <v>0</v>
      </c>
    </row>
    <row r="125" spans="10:10" x14ac:dyDescent="0.3">
      <c r="J125" s="19">
        <f>_xlfn.XLOOKUP(C125, BOQ!$B$2:$B$1000, BOQ!$F$2:$F$1000, "Not found")</f>
        <v>0</v>
      </c>
    </row>
    <row r="126" spans="10:10" x14ac:dyDescent="0.3">
      <c r="J126" s="19">
        <f>_xlfn.XLOOKUP(C126, BOQ!$B$2:$B$1000, BOQ!$F$2:$F$1000, "Not found")</f>
        <v>0</v>
      </c>
    </row>
    <row r="127" spans="10:10" x14ac:dyDescent="0.3">
      <c r="J127" s="19">
        <f>_xlfn.XLOOKUP(C127, BOQ!$B$2:$B$1000, BOQ!$F$2:$F$1000, "Not found")</f>
        <v>0</v>
      </c>
    </row>
    <row r="128" spans="10:10" x14ac:dyDescent="0.3">
      <c r="J128" s="19">
        <f>_xlfn.XLOOKUP(C128, BOQ!$B$2:$B$1000, BOQ!$F$2:$F$1000, "Not found")</f>
        <v>0</v>
      </c>
    </row>
    <row r="129" spans="10:10" x14ac:dyDescent="0.3">
      <c r="J129" s="19">
        <f>_xlfn.XLOOKUP(C129, BOQ!$B$2:$B$1000, BOQ!$F$2:$F$1000, "Not found")</f>
        <v>0</v>
      </c>
    </row>
    <row r="130" spans="10:10" x14ac:dyDescent="0.3">
      <c r="J130" s="19">
        <f>_xlfn.XLOOKUP(C130, BOQ!$B$2:$B$1000, BOQ!$F$2:$F$1000, "Not found")</f>
        <v>0</v>
      </c>
    </row>
    <row r="131" spans="10:10" x14ac:dyDescent="0.3">
      <c r="J131" s="19">
        <f>_xlfn.XLOOKUP(C131, BOQ!$B$2:$B$1000, BOQ!$F$2:$F$1000, "Not found")</f>
        <v>0</v>
      </c>
    </row>
  </sheetData>
  <sheetProtection selectLockedCells="1"/>
  <mergeCells count="8">
    <mergeCell ref="D2:H3"/>
    <mergeCell ref="A4:C4"/>
    <mergeCell ref="D4:H4"/>
    <mergeCell ref="D5:H5"/>
    <mergeCell ref="A6:C6"/>
    <mergeCell ref="D6:H6"/>
    <mergeCell ref="B3:C3"/>
    <mergeCell ref="A5:C5"/>
  </mergeCells>
  <pageMargins left="0.7" right="0.7" top="0.75" bottom="0.75" header="0.3" footer="0.3"/>
  <pageSetup scale="66" fitToHeight="0" orientation="portrait" horizontalDpi="300" verticalDpi="300" r:id="rId1"/>
  <headerFooter>
    <oddHeader>&amp;R&amp;G</oddHeader>
    <oddFooter>&amp;CZerone Technologies Pvt. Ltd., 1137-40, Tower-B3, Spaze IT, Sohna Road, Gurgaon.- 122018.
Ph: 0124 -4205116/117/118 ;Website: www.zeronetechnologies.com&amp;RPage &amp;P of &amp;N</oddFooter>
  </headerFooter>
  <legacyDrawingHF r:id="rId2"/>
  <extLst>
    <ext xmlns:x14="http://schemas.microsoft.com/office/spreadsheetml/2009/9/main" uri="{CCE6A557-97BC-4b89-ADB6-D9C93CAAB3DF}">
      <x14:dataValidations xmlns:xm="http://schemas.microsoft.com/office/excel/2006/main" count="2">
        <x14:dataValidation type="custom" allowBlank="1" showInputMessage="1" showErrorMessage="1" error="QTY Exceeds BOQ" xr:uid="{B7B4176A-2982-4222-AF53-468D44BC1FC4}">
          <x14:formula1>
            <xm:f>H9&lt;=_xlfn.XLOOKUP(C9, BOQ!$B$2:$B$1000, BOQ!$F$2:$F$1000)</xm:f>
          </x14:formula1>
          <xm:sqref>H9:H24</xm:sqref>
        </x14:dataValidation>
        <x14:dataValidation type="list" allowBlank="1" showInputMessage="1" showErrorMessage="1" xr:uid="{7931E516-F279-43C2-894D-E9A6D6CB8045}">
          <x14:formula1>
            <xm:f>BOQ!$B$2:$B$1000</xm:f>
          </x14:formula1>
          <xm:sqref>C9:C24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3D954-1998-4F4B-978A-1FAB38D8F285}">
  <sheetPr codeName="Sheet2"/>
  <dimension ref="A1:I1999"/>
  <sheetViews>
    <sheetView zoomScale="68" zoomScaleNormal="68" workbookViewId="0">
      <pane ySplit="1" topLeftCell="A2" activePane="bottomLeft" state="frozen"/>
      <selection activeCell="I1" sqref="I1:R3"/>
      <selection pane="bottomLeft" activeCell="I1" sqref="I1:R3"/>
    </sheetView>
  </sheetViews>
  <sheetFormatPr defaultRowHeight="14.4" x14ac:dyDescent="0.3"/>
  <cols>
    <col min="2" max="2" width="10" customWidth="1"/>
    <col min="3" max="3" width="40" customWidth="1"/>
    <col min="4" max="4" width="28" style="13" customWidth="1"/>
    <col min="5" max="5" width="30" style="13" customWidth="1"/>
    <col min="6" max="7" width="10" customWidth="1"/>
    <col min="8" max="9" width="12" customWidth="1"/>
  </cols>
  <sheetData>
    <row r="1" spans="1:9" x14ac:dyDescent="0.3">
      <c r="A1" s="9" t="s">
        <v>274</v>
      </c>
      <c r="B1" s="9" t="s">
        <v>0</v>
      </c>
      <c r="C1" s="9" t="s">
        <v>275</v>
      </c>
      <c r="D1" s="9" t="s">
        <v>2</v>
      </c>
      <c r="E1" s="9" t="s">
        <v>3</v>
      </c>
      <c r="F1" s="9" t="s">
        <v>4</v>
      </c>
      <c r="G1" s="9" t="s">
        <v>276</v>
      </c>
      <c r="H1" s="9" t="s">
        <v>6</v>
      </c>
      <c r="I1" s="9" t="s">
        <v>7</v>
      </c>
    </row>
    <row r="2" spans="1:9" x14ac:dyDescent="0.3">
      <c r="B2" s="10"/>
      <c r="E2" s="14"/>
    </row>
    <row r="3" spans="1:9" x14ac:dyDescent="0.3">
      <c r="A3">
        <v>1</v>
      </c>
      <c r="B3" s="10">
        <v>12.05</v>
      </c>
      <c r="C3" t="s">
        <v>155</v>
      </c>
      <c r="D3" s="13" t="s">
        <v>21</v>
      </c>
      <c r="E3" s="14" t="s">
        <v>22</v>
      </c>
      <c r="F3" t="s">
        <v>150</v>
      </c>
      <c r="G3">
        <f>BOQ!S77</f>
        <v>0</v>
      </c>
    </row>
    <row r="4" spans="1:9" x14ac:dyDescent="0.3">
      <c r="B4" s="10"/>
      <c r="E4" s="14"/>
    </row>
    <row r="5" spans="1:9" x14ac:dyDescent="0.3">
      <c r="B5" s="10"/>
      <c r="E5" s="14"/>
    </row>
    <row r="6" spans="1:9" x14ac:dyDescent="0.3">
      <c r="B6" s="10"/>
      <c r="E6" s="14"/>
    </row>
    <row r="7" spans="1:9" x14ac:dyDescent="0.3">
      <c r="B7" s="10"/>
      <c r="E7" s="14"/>
    </row>
    <row r="8" spans="1:9" x14ac:dyDescent="0.3">
      <c r="B8" s="10"/>
      <c r="E8" s="14"/>
    </row>
    <row r="9" spans="1:9" x14ac:dyDescent="0.3">
      <c r="B9" s="10"/>
      <c r="E9" s="14"/>
    </row>
    <row r="10" spans="1:9" x14ac:dyDescent="0.3">
      <c r="B10" s="10"/>
      <c r="E10" s="14"/>
    </row>
    <row r="11" spans="1:9" x14ac:dyDescent="0.3">
      <c r="B11" s="10"/>
      <c r="E11" s="14"/>
    </row>
    <row r="12" spans="1:9" x14ac:dyDescent="0.3">
      <c r="B12" s="10"/>
      <c r="E12" s="14"/>
    </row>
    <row r="13" spans="1:9" x14ac:dyDescent="0.3">
      <c r="B13" s="10"/>
      <c r="E13" s="14"/>
    </row>
    <row r="14" spans="1:9" x14ac:dyDescent="0.3">
      <c r="B14" s="10"/>
      <c r="E14" s="14"/>
    </row>
    <row r="15" spans="1:9" x14ac:dyDescent="0.3">
      <c r="B15" s="10"/>
      <c r="E15" s="14"/>
    </row>
    <row r="16" spans="1:9" x14ac:dyDescent="0.3">
      <c r="B16" s="10"/>
      <c r="E16" s="14"/>
    </row>
    <row r="17" spans="2:5" x14ac:dyDescent="0.3">
      <c r="B17" s="10"/>
      <c r="E17" s="14"/>
    </row>
    <row r="18" spans="2:5" x14ac:dyDescent="0.3">
      <c r="B18" s="10"/>
      <c r="E18" s="14"/>
    </row>
    <row r="19" spans="2:5" x14ac:dyDescent="0.3">
      <c r="B19" s="10"/>
      <c r="E19" s="14"/>
    </row>
    <row r="20" spans="2:5" x14ac:dyDescent="0.3">
      <c r="B20" s="10"/>
      <c r="E20" s="14"/>
    </row>
    <row r="21" spans="2:5" x14ac:dyDescent="0.3">
      <c r="B21" s="10"/>
      <c r="E21" s="14"/>
    </row>
    <row r="22" spans="2:5" x14ac:dyDescent="0.3">
      <c r="B22" s="10"/>
      <c r="E22" s="14"/>
    </row>
    <row r="23" spans="2:5" x14ac:dyDescent="0.3">
      <c r="B23" s="10"/>
      <c r="E23" s="14"/>
    </row>
    <row r="24" spans="2:5" x14ac:dyDescent="0.3">
      <c r="B24" s="10"/>
      <c r="E24" s="14"/>
    </row>
    <row r="25" spans="2:5" x14ac:dyDescent="0.3">
      <c r="B25" s="10"/>
      <c r="E25" s="14"/>
    </row>
    <row r="26" spans="2:5" x14ac:dyDescent="0.3">
      <c r="B26" s="10"/>
      <c r="E26" s="14"/>
    </row>
    <row r="27" spans="2:5" x14ac:dyDescent="0.3">
      <c r="B27" s="10"/>
      <c r="E27" s="14"/>
    </row>
    <row r="28" spans="2:5" x14ac:dyDescent="0.3">
      <c r="B28" s="10"/>
      <c r="E28" s="14"/>
    </row>
    <row r="29" spans="2:5" x14ac:dyDescent="0.3">
      <c r="B29" s="10"/>
      <c r="E29" s="14"/>
    </row>
    <row r="30" spans="2:5" x14ac:dyDescent="0.3">
      <c r="B30" s="10"/>
      <c r="E30" s="14"/>
    </row>
    <row r="31" spans="2:5" x14ac:dyDescent="0.3">
      <c r="B31" s="10"/>
      <c r="E31" s="14"/>
    </row>
    <row r="32" spans="2:5" x14ac:dyDescent="0.3">
      <c r="B32" s="10"/>
      <c r="E32" s="14"/>
    </row>
    <row r="33" spans="2:5" x14ac:dyDescent="0.3">
      <c r="B33" s="10"/>
      <c r="E33" s="14"/>
    </row>
    <row r="34" spans="2:5" x14ac:dyDescent="0.3">
      <c r="B34" s="10"/>
      <c r="E34" s="14"/>
    </row>
    <row r="35" spans="2:5" x14ac:dyDescent="0.3">
      <c r="B35" s="10"/>
      <c r="E35" s="14"/>
    </row>
    <row r="36" spans="2:5" x14ac:dyDescent="0.3">
      <c r="B36" s="10"/>
      <c r="E36" s="14"/>
    </row>
    <row r="37" spans="2:5" x14ac:dyDescent="0.3">
      <c r="B37" s="10"/>
      <c r="E37" s="14"/>
    </row>
    <row r="38" spans="2:5" x14ac:dyDescent="0.3">
      <c r="B38" s="10"/>
      <c r="E38" s="14"/>
    </row>
    <row r="39" spans="2:5" x14ac:dyDescent="0.3">
      <c r="B39" s="10"/>
      <c r="E39" s="14"/>
    </row>
    <row r="40" spans="2:5" x14ac:dyDescent="0.3">
      <c r="B40" s="10"/>
      <c r="E40" s="14"/>
    </row>
    <row r="41" spans="2:5" x14ac:dyDescent="0.3">
      <c r="B41" s="10"/>
      <c r="E41" s="14"/>
    </row>
    <row r="42" spans="2:5" x14ac:dyDescent="0.3">
      <c r="B42" s="10"/>
      <c r="E42" s="14"/>
    </row>
    <row r="43" spans="2:5" x14ac:dyDescent="0.3">
      <c r="B43" s="10"/>
      <c r="E43" s="14"/>
    </row>
    <row r="44" spans="2:5" x14ac:dyDescent="0.3">
      <c r="B44" s="10"/>
      <c r="E44" s="14"/>
    </row>
    <row r="45" spans="2:5" x14ac:dyDescent="0.3">
      <c r="B45" s="10"/>
      <c r="E45" s="14"/>
    </row>
    <row r="46" spans="2:5" x14ac:dyDescent="0.3">
      <c r="B46" s="10"/>
      <c r="E46" s="14"/>
    </row>
    <row r="47" spans="2:5" x14ac:dyDescent="0.3">
      <c r="B47" s="10"/>
      <c r="E47" s="14"/>
    </row>
    <row r="48" spans="2:5" x14ac:dyDescent="0.3">
      <c r="B48" s="10"/>
      <c r="E48" s="14"/>
    </row>
    <row r="49" spans="2:5" x14ac:dyDescent="0.3">
      <c r="B49" s="10"/>
      <c r="E49" s="14"/>
    </row>
    <row r="50" spans="2:5" x14ac:dyDescent="0.3">
      <c r="B50" s="10"/>
      <c r="E50" s="14"/>
    </row>
    <row r="51" spans="2:5" x14ac:dyDescent="0.3">
      <c r="B51" s="10"/>
      <c r="E51" s="14"/>
    </row>
    <row r="52" spans="2:5" x14ac:dyDescent="0.3">
      <c r="B52" s="10"/>
      <c r="E52" s="14"/>
    </row>
    <row r="53" spans="2:5" x14ac:dyDescent="0.3">
      <c r="B53" s="10"/>
      <c r="E53" s="14"/>
    </row>
    <row r="54" spans="2:5" x14ac:dyDescent="0.3">
      <c r="B54" s="10"/>
      <c r="E54" s="14"/>
    </row>
    <row r="55" spans="2:5" x14ac:dyDescent="0.3">
      <c r="B55" s="10"/>
      <c r="E55" s="14"/>
    </row>
    <row r="56" spans="2:5" x14ac:dyDescent="0.3">
      <c r="B56" s="10"/>
      <c r="E56" s="14"/>
    </row>
    <row r="57" spans="2:5" x14ac:dyDescent="0.3">
      <c r="B57" s="10"/>
      <c r="E57" s="14"/>
    </row>
    <row r="58" spans="2:5" x14ac:dyDescent="0.3">
      <c r="B58" s="10"/>
      <c r="E58" s="14"/>
    </row>
    <row r="59" spans="2:5" x14ac:dyDescent="0.3">
      <c r="B59" s="10"/>
      <c r="E59" s="14"/>
    </row>
    <row r="60" spans="2:5" x14ac:dyDescent="0.3">
      <c r="B60" s="10"/>
      <c r="E60" s="14"/>
    </row>
    <row r="61" spans="2:5" x14ac:dyDescent="0.3">
      <c r="B61" s="10"/>
      <c r="E61" s="14"/>
    </row>
    <row r="62" spans="2:5" x14ac:dyDescent="0.3">
      <c r="B62" s="10"/>
      <c r="E62" s="14"/>
    </row>
    <row r="63" spans="2:5" x14ac:dyDescent="0.3">
      <c r="B63" s="10"/>
      <c r="E63" s="14"/>
    </row>
    <row r="64" spans="2:5" x14ac:dyDescent="0.3">
      <c r="B64" s="10"/>
      <c r="E64" s="14"/>
    </row>
    <row r="65" spans="2:5" x14ac:dyDescent="0.3">
      <c r="B65" s="10"/>
      <c r="E65" s="14"/>
    </row>
    <row r="66" spans="2:5" x14ac:dyDescent="0.3">
      <c r="B66" s="10"/>
      <c r="E66" s="14"/>
    </row>
    <row r="67" spans="2:5" x14ac:dyDescent="0.3">
      <c r="B67" s="10"/>
      <c r="E67" s="14"/>
    </row>
    <row r="68" spans="2:5" x14ac:dyDescent="0.3">
      <c r="B68" s="10"/>
      <c r="E68" s="14"/>
    </row>
    <row r="69" spans="2:5" x14ac:dyDescent="0.3">
      <c r="B69" s="10"/>
      <c r="E69" s="14"/>
    </row>
    <row r="70" spans="2:5" x14ac:dyDescent="0.3">
      <c r="B70" s="10"/>
      <c r="E70" s="14"/>
    </row>
    <row r="71" spans="2:5" x14ac:dyDescent="0.3">
      <c r="B71" s="10"/>
      <c r="E71" s="14"/>
    </row>
    <row r="72" spans="2:5" x14ac:dyDescent="0.3">
      <c r="B72" s="10"/>
      <c r="E72" s="14"/>
    </row>
    <row r="73" spans="2:5" x14ac:dyDescent="0.3">
      <c r="B73" s="10"/>
      <c r="E73" s="14"/>
    </row>
    <row r="74" spans="2:5" x14ac:dyDescent="0.3">
      <c r="B74" s="10"/>
      <c r="E74" s="14"/>
    </row>
    <row r="75" spans="2:5" x14ac:dyDescent="0.3">
      <c r="B75" s="10"/>
      <c r="E75" s="14"/>
    </row>
    <row r="76" spans="2:5" x14ac:dyDescent="0.3">
      <c r="B76" s="10"/>
      <c r="E76" s="14"/>
    </row>
    <row r="77" spans="2:5" x14ac:dyDescent="0.3">
      <c r="B77" s="10"/>
      <c r="E77" s="14"/>
    </row>
    <row r="78" spans="2:5" x14ac:dyDescent="0.3">
      <c r="B78" s="10"/>
      <c r="E78" s="14"/>
    </row>
    <row r="79" spans="2:5" x14ac:dyDescent="0.3">
      <c r="B79" s="10"/>
      <c r="E79" s="14"/>
    </row>
    <row r="80" spans="2:5" x14ac:dyDescent="0.3">
      <c r="B80" s="10"/>
      <c r="E80" s="14"/>
    </row>
    <row r="81" spans="2:5" x14ac:dyDescent="0.3">
      <c r="B81" s="10"/>
      <c r="E81" s="14"/>
    </row>
    <row r="82" spans="2:5" x14ac:dyDescent="0.3">
      <c r="B82" s="10"/>
      <c r="E82" s="14"/>
    </row>
    <row r="83" spans="2:5" x14ac:dyDescent="0.3">
      <c r="B83" s="10"/>
      <c r="E83" s="14"/>
    </row>
    <row r="84" spans="2:5" x14ac:dyDescent="0.3">
      <c r="B84" s="10"/>
      <c r="E84" s="14"/>
    </row>
    <row r="85" spans="2:5" x14ac:dyDescent="0.3">
      <c r="B85" s="10"/>
      <c r="E85" s="14"/>
    </row>
    <row r="86" spans="2:5" x14ac:dyDescent="0.3">
      <c r="B86" s="10"/>
      <c r="E86" s="14"/>
    </row>
    <row r="87" spans="2:5" x14ac:dyDescent="0.3">
      <c r="B87" s="10"/>
      <c r="E87" s="14"/>
    </row>
    <row r="88" spans="2:5" x14ac:dyDescent="0.3">
      <c r="B88" s="10"/>
      <c r="E88" s="14"/>
    </row>
    <row r="89" spans="2:5" x14ac:dyDescent="0.3">
      <c r="B89" s="10"/>
      <c r="E89" s="14"/>
    </row>
    <row r="90" spans="2:5" x14ac:dyDescent="0.3">
      <c r="B90" s="10"/>
      <c r="E90" s="14"/>
    </row>
    <row r="91" spans="2:5" x14ac:dyDescent="0.3">
      <c r="B91" s="10"/>
      <c r="E91" s="14"/>
    </row>
    <row r="92" spans="2:5" x14ac:dyDescent="0.3">
      <c r="B92" s="10"/>
      <c r="E92" s="14"/>
    </row>
    <row r="93" spans="2:5" x14ac:dyDescent="0.3">
      <c r="B93" s="10"/>
      <c r="E93" s="14"/>
    </row>
    <row r="94" spans="2:5" x14ac:dyDescent="0.3">
      <c r="B94" s="10"/>
      <c r="E94" s="14"/>
    </row>
    <row r="95" spans="2:5" x14ac:dyDescent="0.3">
      <c r="B95" s="10"/>
      <c r="E95" s="14"/>
    </row>
    <row r="96" spans="2:5" x14ac:dyDescent="0.3">
      <c r="B96" s="10"/>
      <c r="E96" s="14"/>
    </row>
    <row r="97" spans="2:5" x14ac:dyDescent="0.3">
      <c r="B97" s="10"/>
      <c r="E97" s="14"/>
    </row>
    <row r="98" spans="2:5" x14ac:dyDescent="0.3">
      <c r="B98" s="10"/>
      <c r="E98" s="14"/>
    </row>
    <row r="99" spans="2:5" x14ac:dyDescent="0.3">
      <c r="B99" s="10"/>
      <c r="E99" s="14"/>
    </row>
    <row r="100" spans="2:5" x14ac:dyDescent="0.3">
      <c r="B100" s="10"/>
      <c r="E100" s="14"/>
    </row>
    <row r="101" spans="2:5" x14ac:dyDescent="0.3">
      <c r="B101" s="10"/>
      <c r="E101" s="14"/>
    </row>
    <row r="102" spans="2:5" x14ac:dyDescent="0.3">
      <c r="B102" s="10"/>
      <c r="E102" s="14"/>
    </row>
    <row r="103" spans="2:5" x14ac:dyDescent="0.3">
      <c r="B103" s="10"/>
      <c r="E103" s="14"/>
    </row>
    <row r="104" spans="2:5" x14ac:dyDescent="0.3">
      <c r="B104" s="10"/>
      <c r="E104" s="14"/>
    </row>
    <row r="105" spans="2:5" x14ac:dyDescent="0.3">
      <c r="B105" s="10"/>
      <c r="E105" s="14"/>
    </row>
    <row r="106" spans="2:5" x14ac:dyDescent="0.3">
      <c r="B106" s="10"/>
      <c r="E106" s="14"/>
    </row>
    <row r="107" spans="2:5" x14ac:dyDescent="0.3">
      <c r="B107" s="10"/>
      <c r="E107" s="14"/>
    </row>
    <row r="108" spans="2:5" x14ac:dyDescent="0.3">
      <c r="B108" s="10"/>
      <c r="E108" s="14"/>
    </row>
    <row r="109" spans="2:5" x14ac:dyDescent="0.3">
      <c r="B109" s="10"/>
      <c r="E109" s="14"/>
    </row>
    <row r="110" spans="2:5" x14ac:dyDescent="0.3">
      <c r="B110" s="10"/>
      <c r="E110" s="14"/>
    </row>
    <row r="111" spans="2:5" x14ac:dyDescent="0.3">
      <c r="B111" s="10"/>
      <c r="E111" s="14"/>
    </row>
    <row r="112" spans="2:5" x14ac:dyDescent="0.3">
      <c r="B112" s="10"/>
      <c r="E112" s="14"/>
    </row>
    <row r="113" spans="2:5" x14ac:dyDescent="0.3">
      <c r="B113" s="10"/>
      <c r="E113" s="14"/>
    </row>
    <row r="114" spans="2:5" x14ac:dyDescent="0.3">
      <c r="B114" s="10"/>
      <c r="E114" s="14"/>
    </row>
    <row r="115" spans="2:5" x14ac:dyDescent="0.3">
      <c r="B115" s="10"/>
      <c r="E115" s="14"/>
    </row>
    <row r="116" spans="2:5" x14ac:dyDescent="0.3">
      <c r="B116" s="10"/>
      <c r="E116" s="14"/>
    </row>
    <row r="117" spans="2:5" x14ac:dyDescent="0.3">
      <c r="B117" s="10"/>
      <c r="E117" s="14"/>
    </row>
    <row r="118" spans="2:5" x14ac:dyDescent="0.3">
      <c r="B118" s="10"/>
      <c r="E118" s="14"/>
    </row>
    <row r="119" spans="2:5" x14ac:dyDescent="0.3">
      <c r="B119" s="10"/>
      <c r="E119" s="14"/>
    </row>
    <row r="120" spans="2:5" x14ac:dyDescent="0.3">
      <c r="B120" s="10"/>
      <c r="E120" s="14"/>
    </row>
    <row r="121" spans="2:5" x14ac:dyDescent="0.3">
      <c r="B121" s="10"/>
      <c r="E121" s="14"/>
    </row>
    <row r="122" spans="2:5" x14ac:dyDescent="0.3">
      <c r="B122" s="10"/>
      <c r="E122" s="14"/>
    </row>
    <row r="123" spans="2:5" x14ac:dyDescent="0.3">
      <c r="B123" s="10"/>
      <c r="E123" s="14"/>
    </row>
    <row r="124" spans="2:5" x14ac:dyDescent="0.3">
      <c r="B124" s="10"/>
      <c r="E124" s="14"/>
    </row>
    <row r="125" spans="2:5" x14ac:dyDescent="0.3">
      <c r="B125" s="10"/>
      <c r="E125" s="14"/>
    </row>
    <row r="126" spans="2:5" x14ac:dyDescent="0.3">
      <c r="B126" s="10"/>
      <c r="E126" s="14"/>
    </row>
    <row r="127" spans="2:5" x14ac:dyDescent="0.3">
      <c r="B127" s="10"/>
      <c r="E127" s="14"/>
    </row>
    <row r="128" spans="2:5" x14ac:dyDescent="0.3">
      <c r="B128" s="10"/>
      <c r="E128" s="14"/>
    </row>
    <row r="129" spans="2:5" x14ac:dyDescent="0.3">
      <c r="B129" s="10"/>
      <c r="E129" s="14"/>
    </row>
    <row r="130" spans="2:5" x14ac:dyDescent="0.3">
      <c r="B130" s="10"/>
      <c r="E130" s="14"/>
    </row>
    <row r="131" spans="2:5" x14ac:dyDescent="0.3">
      <c r="B131" s="10"/>
      <c r="E131" s="14"/>
    </row>
    <row r="132" spans="2:5" x14ac:dyDescent="0.3">
      <c r="B132" s="10"/>
      <c r="E132" s="14"/>
    </row>
    <row r="133" spans="2:5" x14ac:dyDescent="0.3">
      <c r="B133" s="10"/>
      <c r="E133" s="14"/>
    </row>
    <row r="134" spans="2:5" x14ac:dyDescent="0.3">
      <c r="B134" s="10"/>
      <c r="E134" s="14"/>
    </row>
    <row r="135" spans="2:5" x14ac:dyDescent="0.3">
      <c r="B135" s="10"/>
      <c r="E135" s="14"/>
    </row>
    <row r="136" spans="2:5" x14ac:dyDescent="0.3">
      <c r="B136" s="10"/>
      <c r="E136" s="14"/>
    </row>
    <row r="137" spans="2:5" x14ac:dyDescent="0.3">
      <c r="B137" s="10"/>
      <c r="E137" s="14"/>
    </row>
    <row r="138" spans="2:5" x14ac:dyDescent="0.3">
      <c r="B138" s="10"/>
      <c r="E138" s="14"/>
    </row>
    <row r="139" spans="2:5" x14ac:dyDescent="0.3">
      <c r="B139" s="10"/>
      <c r="E139" s="14"/>
    </row>
    <row r="140" spans="2:5" x14ac:dyDescent="0.3">
      <c r="B140" s="10"/>
      <c r="E140" s="14"/>
    </row>
    <row r="141" spans="2:5" x14ac:dyDescent="0.3">
      <c r="B141" s="10"/>
      <c r="E141" s="14"/>
    </row>
    <row r="142" spans="2:5" x14ac:dyDescent="0.3">
      <c r="B142" s="10"/>
      <c r="E142" s="14"/>
    </row>
    <row r="143" spans="2:5" x14ac:dyDescent="0.3">
      <c r="B143" s="10"/>
      <c r="E143" s="14"/>
    </row>
    <row r="144" spans="2:5" x14ac:dyDescent="0.3">
      <c r="B144" s="10"/>
      <c r="E144" s="14"/>
    </row>
    <row r="145" spans="2:5" x14ac:dyDescent="0.3">
      <c r="B145" s="10"/>
      <c r="E145" s="14"/>
    </row>
    <row r="146" spans="2:5" x14ac:dyDescent="0.3">
      <c r="B146" s="10"/>
      <c r="E146" s="14"/>
    </row>
    <row r="147" spans="2:5" x14ac:dyDescent="0.3">
      <c r="B147" s="10"/>
      <c r="E147" s="14"/>
    </row>
    <row r="148" spans="2:5" x14ac:dyDescent="0.3">
      <c r="B148" s="10"/>
      <c r="E148" s="14"/>
    </row>
    <row r="149" spans="2:5" x14ac:dyDescent="0.3">
      <c r="B149" s="10"/>
      <c r="E149" s="14"/>
    </row>
    <row r="150" spans="2:5" x14ac:dyDescent="0.3">
      <c r="B150" s="10"/>
      <c r="E150" s="14"/>
    </row>
    <row r="151" spans="2:5" x14ac:dyDescent="0.3">
      <c r="B151" s="10"/>
      <c r="E151" s="14"/>
    </row>
    <row r="152" spans="2:5" x14ac:dyDescent="0.3">
      <c r="B152" s="10"/>
      <c r="E152" s="14"/>
    </row>
    <row r="153" spans="2:5" x14ac:dyDescent="0.3">
      <c r="B153" s="10"/>
      <c r="E153" s="14"/>
    </row>
    <row r="154" spans="2:5" x14ac:dyDescent="0.3">
      <c r="B154" s="10"/>
      <c r="E154" s="14"/>
    </row>
    <row r="155" spans="2:5" x14ac:dyDescent="0.3">
      <c r="B155" s="10"/>
      <c r="E155" s="14"/>
    </row>
    <row r="156" spans="2:5" x14ac:dyDescent="0.3">
      <c r="B156" s="10"/>
      <c r="E156" s="14"/>
    </row>
    <row r="157" spans="2:5" x14ac:dyDescent="0.3">
      <c r="B157" s="10"/>
      <c r="E157" s="14"/>
    </row>
    <row r="158" spans="2:5" x14ac:dyDescent="0.3">
      <c r="B158" s="10"/>
      <c r="E158" s="14"/>
    </row>
    <row r="159" spans="2:5" x14ac:dyDescent="0.3">
      <c r="B159" s="10"/>
      <c r="E159" s="14"/>
    </row>
    <row r="160" spans="2:5" x14ac:dyDescent="0.3">
      <c r="B160" s="10"/>
      <c r="E160" s="14"/>
    </row>
    <row r="161" spans="2:5" x14ac:dyDescent="0.3">
      <c r="B161" s="10"/>
      <c r="E161" s="14"/>
    </row>
    <row r="162" spans="2:5" x14ac:dyDescent="0.3">
      <c r="B162" s="10"/>
      <c r="E162" s="14"/>
    </row>
    <row r="163" spans="2:5" x14ac:dyDescent="0.3">
      <c r="B163" s="10"/>
      <c r="E163" s="14"/>
    </row>
    <row r="164" spans="2:5" x14ac:dyDescent="0.3">
      <c r="B164" s="10"/>
      <c r="E164" s="14"/>
    </row>
    <row r="165" spans="2:5" x14ac:dyDescent="0.3">
      <c r="B165" s="10"/>
      <c r="E165" s="14"/>
    </row>
    <row r="166" spans="2:5" x14ac:dyDescent="0.3">
      <c r="B166" s="10"/>
      <c r="E166" s="14"/>
    </row>
    <row r="167" spans="2:5" x14ac:dyDescent="0.3">
      <c r="B167" s="10"/>
      <c r="E167" s="14"/>
    </row>
    <row r="168" spans="2:5" x14ac:dyDescent="0.3">
      <c r="B168" s="10"/>
      <c r="E168" s="14"/>
    </row>
    <row r="169" spans="2:5" x14ac:dyDescent="0.3">
      <c r="B169" s="10"/>
      <c r="E169" s="14"/>
    </row>
    <row r="170" spans="2:5" x14ac:dyDescent="0.3">
      <c r="B170" s="10"/>
      <c r="E170" s="14"/>
    </row>
    <row r="171" spans="2:5" x14ac:dyDescent="0.3">
      <c r="B171" s="10"/>
      <c r="E171" s="14"/>
    </row>
    <row r="172" spans="2:5" x14ac:dyDescent="0.3">
      <c r="B172" s="10"/>
      <c r="E172" s="14"/>
    </row>
    <row r="173" spans="2:5" x14ac:dyDescent="0.3">
      <c r="B173" s="10"/>
      <c r="E173" s="14"/>
    </row>
    <row r="174" spans="2:5" x14ac:dyDescent="0.3">
      <c r="B174" s="10"/>
      <c r="E174" s="14"/>
    </row>
    <row r="175" spans="2:5" x14ac:dyDescent="0.3">
      <c r="B175" s="10"/>
      <c r="E175" s="14"/>
    </row>
    <row r="176" spans="2:5" x14ac:dyDescent="0.3">
      <c r="B176" s="10"/>
      <c r="E176" s="14"/>
    </row>
    <row r="177" spans="2:5" x14ac:dyDescent="0.3">
      <c r="B177" s="10"/>
      <c r="E177" s="14"/>
    </row>
    <row r="178" spans="2:5" x14ac:dyDescent="0.3">
      <c r="B178" s="10"/>
      <c r="E178" s="14"/>
    </row>
    <row r="179" spans="2:5" x14ac:dyDescent="0.3">
      <c r="B179" s="10"/>
      <c r="E179" s="14"/>
    </row>
    <row r="180" spans="2:5" x14ac:dyDescent="0.3">
      <c r="B180" s="10"/>
      <c r="E180" s="14"/>
    </row>
    <row r="181" spans="2:5" x14ac:dyDescent="0.3">
      <c r="B181" s="10"/>
      <c r="E181" s="14"/>
    </row>
    <row r="182" spans="2:5" x14ac:dyDescent="0.3">
      <c r="B182" s="10"/>
      <c r="E182" s="14"/>
    </row>
    <row r="183" spans="2:5" x14ac:dyDescent="0.3">
      <c r="B183" s="10"/>
      <c r="E183" s="14"/>
    </row>
    <row r="184" spans="2:5" x14ac:dyDescent="0.3">
      <c r="B184" s="10"/>
      <c r="E184" s="14"/>
    </row>
    <row r="185" spans="2:5" x14ac:dyDescent="0.3">
      <c r="B185" s="10"/>
      <c r="E185" s="14"/>
    </row>
    <row r="186" spans="2:5" x14ac:dyDescent="0.3">
      <c r="B186" s="10"/>
      <c r="E186" s="14"/>
    </row>
    <row r="187" spans="2:5" x14ac:dyDescent="0.3">
      <c r="B187" s="10"/>
      <c r="E187" s="14"/>
    </row>
    <row r="188" spans="2:5" x14ac:dyDescent="0.3">
      <c r="B188" s="10"/>
      <c r="E188" s="14"/>
    </row>
    <row r="189" spans="2:5" x14ac:dyDescent="0.3">
      <c r="B189" s="10"/>
      <c r="E189" s="14"/>
    </row>
    <row r="190" spans="2:5" x14ac:dyDescent="0.3">
      <c r="B190" s="10"/>
      <c r="E190" s="14"/>
    </row>
    <row r="191" spans="2:5" x14ac:dyDescent="0.3">
      <c r="B191" s="10"/>
      <c r="E191" s="14"/>
    </row>
    <row r="192" spans="2:5" x14ac:dyDescent="0.3">
      <c r="B192" s="10"/>
      <c r="E192" s="14"/>
    </row>
    <row r="193" spans="2:5" x14ac:dyDescent="0.3">
      <c r="B193" s="10"/>
      <c r="E193" s="14"/>
    </row>
    <row r="194" spans="2:5" x14ac:dyDescent="0.3">
      <c r="B194" s="10"/>
      <c r="E194" s="14"/>
    </row>
    <row r="195" spans="2:5" x14ac:dyDescent="0.3">
      <c r="B195" s="10"/>
      <c r="E195" s="14"/>
    </row>
    <row r="196" spans="2:5" x14ac:dyDescent="0.3">
      <c r="B196" s="10"/>
      <c r="E196" s="14"/>
    </row>
    <row r="197" spans="2:5" x14ac:dyDescent="0.3">
      <c r="B197" s="10"/>
      <c r="E197" s="14"/>
    </row>
    <row r="198" spans="2:5" x14ac:dyDescent="0.3">
      <c r="B198" s="10"/>
      <c r="E198" s="14"/>
    </row>
    <row r="199" spans="2:5" x14ac:dyDescent="0.3">
      <c r="B199" s="10"/>
      <c r="E199" s="14"/>
    </row>
    <row r="200" spans="2:5" x14ac:dyDescent="0.3">
      <c r="B200" s="10"/>
      <c r="E200" s="14"/>
    </row>
    <row r="201" spans="2:5" x14ac:dyDescent="0.3">
      <c r="B201" s="10"/>
      <c r="E201" s="14"/>
    </row>
    <row r="202" spans="2:5" x14ac:dyDescent="0.3">
      <c r="B202" s="10"/>
      <c r="E202" s="14"/>
    </row>
    <row r="203" spans="2:5" x14ac:dyDescent="0.3">
      <c r="B203" s="10"/>
      <c r="E203" s="14"/>
    </row>
    <row r="204" spans="2:5" x14ac:dyDescent="0.3">
      <c r="B204" s="10"/>
      <c r="E204" s="14"/>
    </row>
    <row r="205" spans="2:5" x14ac:dyDescent="0.3">
      <c r="B205" s="10"/>
      <c r="E205" s="14"/>
    </row>
    <row r="206" spans="2:5" x14ac:dyDescent="0.3">
      <c r="B206" s="10"/>
      <c r="E206" s="14"/>
    </row>
    <row r="207" spans="2:5" x14ac:dyDescent="0.3">
      <c r="B207" s="10"/>
      <c r="E207" s="14"/>
    </row>
    <row r="208" spans="2:5" x14ac:dyDescent="0.3">
      <c r="B208" s="10"/>
      <c r="E208" s="14"/>
    </row>
    <row r="209" spans="2:5" x14ac:dyDescent="0.3">
      <c r="B209" s="10"/>
      <c r="E209" s="14"/>
    </row>
    <row r="210" spans="2:5" x14ac:dyDescent="0.3">
      <c r="B210" s="10"/>
      <c r="E210" s="14"/>
    </row>
    <row r="211" spans="2:5" x14ac:dyDescent="0.3">
      <c r="B211" s="10"/>
      <c r="E211" s="14"/>
    </row>
    <row r="212" spans="2:5" x14ac:dyDescent="0.3">
      <c r="B212" s="10"/>
      <c r="E212" s="14"/>
    </row>
    <row r="213" spans="2:5" x14ac:dyDescent="0.3">
      <c r="B213" s="10"/>
      <c r="E213" s="14"/>
    </row>
    <row r="214" spans="2:5" x14ac:dyDescent="0.3">
      <c r="B214" s="10"/>
      <c r="E214" s="14"/>
    </row>
    <row r="215" spans="2:5" x14ac:dyDescent="0.3">
      <c r="B215" s="10"/>
      <c r="E215" s="14"/>
    </row>
    <row r="216" spans="2:5" x14ac:dyDescent="0.3">
      <c r="B216" s="10"/>
      <c r="E216" s="14"/>
    </row>
    <row r="217" spans="2:5" x14ac:dyDescent="0.3">
      <c r="B217" s="10"/>
      <c r="E217" s="14"/>
    </row>
    <row r="218" spans="2:5" x14ac:dyDescent="0.3">
      <c r="B218" s="10"/>
      <c r="E218" s="14"/>
    </row>
    <row r="219" spans="2:5" x14ac:dyDescent="0.3">
      <c r="B219" s="10"/>
      <c r="E219" s="14"/>
    </row>
    <row r="220" spans="2:5" x14ac:dyDescent="0.3">
      <c r="B220" s="10"/>
      <c r="E220" s="14"/>
    </row>
    <row r="221" spans="2:5" x14ac:dyDescent="0.3">
      <c r="B221" s="10"/>
      <c r="E221" s="14"/>
    </row>
    <row r="222" spans="2:5" x14ac:dyDescent="0.3">
      <c r="B222" s="10"/>
      <c r="E222" s="14"/>
    </row>
    <row r="223" spans="2:5" x14ac:dyDescent="0.3">
      <c r="B223" s="10"/>
      <c r="E223" s="14"/>
    </row>
    <row r="224" spans="2:5" x14ac:dyDescent="0.3">
      <c r="B224" s="10"/>
      <c r="E224" s="14"/>
    </row>
    <row r="225" spans="2:5" x14ac:dyDescent="0.3">
      <c r="B225" s="10"/>
      <c r="E225" s="14"/>
    </row>
    <row r="226" spans="2:5" x14ac:dyDescent="0.3">
      <c r="B226" s="10"/>
      <c r="E226" s="14"/>
    </row>
    <row r="227" spans="2:5" x14ac:dyDescent="0.3">
      <c r="B227" s="10"/>
      <c r="E227" s="14"/>
    </row>
    <row r="228" spans="2:5" x14ac:dyDescent="0.3">
      <c r="B228" s="10"/>
      <c r="E228" s="14"/>
    </row>
    <row r="229" spans="2:5" x14ac:dyDescent="0.3">
      <c r="B229" s="10"/>
      <c r="E229" s="14"/>
    </row>
    <row r="230" spans="2:5" x14ac:dyDescent="0.3">
      <c r="B230" s="10"/>
      <c r="E230" s="14"/>
    </row>
    <row r="231" spans="2:5" x14ac:dyDescent="0.3">
      <c r="B231" s="10"/>
      <c r="E231" s="14"/>
    </row>
    <row r="232" spans="2:5" x14ac:dyDescent="0.3">
      <c r="B232" s="10"/>
      <c r="E232" s="14"/>
    </row>
    <row r="233" spans="2:5" x14ac:dyDescent="0.3">
      <c r="B233" s="10"/>
      <c r="E233" s="14"/>
    </row>
    <row r="234" spans="2:5" x14ac:dyDescent="0.3">
      <c r="B234" s="10"/>
      <c r="E234" s="14"/>
    </row>
    <row r="235" spans="2:5" x14ac:dyDescent="0.3">
      <c r="B235" s="10"/>
      <c r="E235" s="14"/>
    </row>
    <row r="236" spans="2:5" x14ac:dyDescent="0.3">
      <c r="B236" s="10"/>
      <c r="E236" s="14"/>
    </row>
    <row r="237" spans="2:5" x14ac:dyDescent="0.3">
      <c r="B237" s="10"/>
      <c r="E237" s="14"/>
    </row>
    <row r="238" spans="2:5" x14ac:dyDescent="0.3">
      <c r="B238" s="10"/>
      <c r="E238" s="14"/>
    </row>
    <row r="239" spans="2:5" x14ac:dyDescent="0.3">
      <c r="B239" s="10"/>
      <c r="E239" s="14"/>
    </row>
    <row r="240" spans="2:5" x14ac:dyDescent="0.3">
      <c r="B240" s="10"/>
      <c r="E240" s="14"/>
    </row>
    <row r="241" spans="2:5" x14ac:dyDescent="0.3">
      <c r="B241" s="10"/>
      <c r="E241" s="14"/>
    </row>
    <row r="242" spans="2:5" x14ac:dyDescent="0.3">
      <c r="B242" s="10"/>
      <c r="E242" s="14"/>
    </row>
    <row r="243" spans="2:5" x14ac:dyDescent="0.3">
      <c r="B243" s="10"/>
      <c r="E243" s="14"/>
    </row>
    <row r="244" spans="2:5" x14ac:dyDescent="0.3">
      <c r="B244" s="10"/>
      <c r="E244" s="14"/>
    </row>
    <row r="245" spans="2:5" x14ac:dyDescent="0.3">
      <c r="B245" s="10"/>
      <c r="E245" s="14"/>
    </row>
    <row r="246" spans="2:5" x14ac:dyDescent="0.3">
      <c r="B246" s="10"/>
      <c r="E246" s="14"/>
    </row>
    <row r="247" spans="2:5" x14ac:dyDescent="0.3">
      <c r="B247" s="10"/>
      <c r="E247" s="14"/>
    </row>
    <row r="248" spans="2:5" x14ac:dyDescent="0.3">
      <c r="B248" s="10"/>
      <c r="E248" s="14"/>
    </row>
    <row r="249" spans="2:5" x14ac:dyDescent="0.3">
      <c r="B249" s="10"/>
      <c r="E249" s="14"/>
    </row>
    <row r="250" spans="2:5" x14ac:dyDescent="0.3">
      <c r="B250" s="10"/>
      <c r="E250" s="14"/>
    </row>
    <row r="251" spans="2:5" x14ac:dyDescent="0.3">
      <c r="B251" s="10"/>
      <c r="E251" s="14"/>
    </row>
    <row r="252" spans="2:5" x14ac:dyDescent="0.3">
      <c r="B252" s="10"/>
      <c r="E252" s="14"/>
    </row>
    <row r="253" spans="2:5" x14ac:dyDescent="0.3">
      <c r="B253" s="10"/>
      <c r="E253" s="14"/>
    </row>
    <row r="254" spans="2:5" x14ac:dyDescent="0.3">
      <c r="B254" s="10"/>
      <c r="E254" s="14"/>
    </row>
    <row r="255" spans="2:5" x14ac:dyDescent="0.3">
      <c r="B255" s="10"/>
      <c r="E255" s="14"/>
    </row>
    <row r="256" spans="2:5" x14ac:dyDescent="0.3">
      <c r="B256" s="10"/>
      <c r="E256" s="14"/>
    </row>
    <row r="257" spans="2:5" x14ac:dyDescent="0.3">
      <c r="B257" s="10"/>
      <c r="E257" s="14"/>
    </row>
    <row r="258" spans="2:5" x14ac:dyDescent="0.3">
      <c r="B258" s="10"/>
      <c r="E258" s="14"/>
    </row>
    <row r="259" spans="2:5" x14ac:dyDescent="0.3">
      <c r="B259" s="10"/>
      <c r="E259" s="14"/>
    </row>
    <row r="260" spans="2:5" x14ac:dyDescent="0.3">
      <c r="B260" s="10"/>
      <c r="E260" s="14"/>
    </row>
    <row r="261" spans="2:5" x14ac:dyDescent="0.3">
      <c r="B261" s="10"/>
      <c r="E261" s="14"/>
    </row>
    <row r="262" spans="2:5" x14ac:dyDescent="0.3">
      <c r="B262" s="10"/>
      <c r="E262" s="14"/>
    </row>
    <row r="263" spans="2:5" x14ac:dyDescent="0.3">
      <c r="B263" s="10"/>
      <c r="E263" s="14"/>
    </row>
    <row r="264" spans="2:5" x14ac:dyDescent="0.3">
      <c r="B264" s="10"/>
      <c r="E264" s="14"/>
    </row>
    <row r="265" spans="2:5" x14ac:dyDescent="0.3">
      <c r="B265" s="10"/>
      <c r="E265" s="14"/>
    </row>
    <row r="266" spans="2:5" x14ac:dyDescent="0.3">
      <c r="B266" s="10"/>
      <c r="E266" s="14"/>
    </row>
    <row r="267" spans="2:5" x14ac:dyDescent="0.3">
      <c r="B267" s="10"/>
      <c r="E267" s="14"/>
    </row>
    <row r="268" spans="2:5" x14ac:dyDescent="0.3">
      <c r="B268" s="10"/>
      <c r="E268" s="14"/>
    </row>
    <row r="269" spans="2:5" x14ac:dyDescent="0.3">
      <c r="B269" s="10"/>
      <c r="E269" s="14"/>
    </row>
    <row r="270" spans="2:5" x14ac:dyDescent="0.3">
      <c r="B270" s="10"/>
      <c r="E270" s="14"/>
    </row>
    <row r="271" spans="2:5" x14ac:dyDescent="0.3">
      <c r="B271" s="10"/>
      <c r="E271" s="14"/>
    </row>
    <row r="272" spans="2:5" x14ac:dyDescent="0.3">
      <c r="B272" s="10"/>
      <c r="E272" s="14"/>
    </row>
    <row r="273" spans="2:5" x14ac:dyDescent="0.3">
      <c r="B273" s="10"/>
      <c r="E273" s="14"/>
    </row>
    <row r="274" spans="2:5" x14ac:dyDescent="0.3">
      <c r="B274" s="10"/>
      <c r="E274" s="14"/>
    </row>
    <row r="275" spans="2:5" x14ac:dyDescent="0.3">
      <c r="B275" s="10"/>
      <c r="E275" s="14"/>
    </row>
    <row r="276" spans="2:5" x14ac:dyDescent="0.3">
      <c r="B276" s="10"/>
      <c r="E276" s="14"/>
    </row>
    <row r="277" spans="2:5" x14ac:dyDescent="0.3">
      <c r="B277" s="10"/>
      <c r="E277" s="14"/>
    </row>
    <row r="278" spans="2:5" x14ac:dyDescent="0.3">
      <c r="B278" s="10"/>
      <c r="E278" s="14"/>
    </row>
    <row r="279" spans="2:5" x14ac:dyDescent="0.3">
      <c r="B279" s="10"/>
      <c r="E279" s="14"/>
    </row>
    <row r="280" spans="2:5" x14ac:dyDescent="0.3">
      <c r="B280" s="10"/>
      <c r="E280" s="14"/>
    </row>
    <row r="281" spans="2:5" x14ac:dyDescent="0.3">
      <c r="B281" s="10"/>
      <c r="E281" s="14"/>
    </row>
    <row r="282" spans="2:5" x14ac:dyDescent="0.3">
      <c r="B282" s="10"/>
      <c r="E282" s="14"/>
    </row>
    <row r="283" spans="2:5" x14ac:dyDescent="0.3">
      <c r="B283" s="10"/>
      <c r="E283" s="14"/>
    </row>
    <row r="284" spans="2:5" x14ac:dyDescent="0.3">
      <c r="B284" s="10"/>
      <c r="E284" s="14"/>
    </row>
    <row r="285" spans="2:5" x14ac:dyDescent="0.3">
      <c r="B285" s="10"/>
      <c r="E285" s="14"/>
    </row>
    <row r="286" spans="2:5" x14ac:dyDescent="0.3">
      <c r="B286" s="10"/>
      <c r="E286" s="14"/>
    </row>
    <row r="287" spans="2:5" x14ac:dyDescent="0.3">
      <c r="B287" s="10"/>
      <c r="E287" s="14"/>
    </row>
    <row r="288" spans="2:5" x14ac:dyDescent="0.3">
      <c r="B288" s="10"/>
      <c r="E288" s="14"/>
    </row>
    <row r="289" spans="2:5" x14ac:dyDescent="0.3">
      <c r="B289" s="10"/>
      <c r="E289" s="14"/>
    </row>
    <row r="290" spans="2:5" x14ac:dyDescent="0.3">
      <c r="B290" s="10"/>
      <c r="E290" s="14"/>
    </row>
    <row r="291" spans="2:5" x14ac:dyDescent="0.3">
      <c r="B291" s="10"/>
      <c r="E291" s="14"/>
    </row>
    <row r="292" spans="2:5" x14ac:dyDescent="0.3">
      <c r="B292" s="10"/>
      <c r="E292" s="14"/>
    </row>
    <row r="293" spans="2:5" x14ac:dyDescent="0.3">
      <c r="B293" s="10"/>
      <c r="E293" s="14"/>
    </row>
    <row r="294" spans="2:5" x14ac:dyDescent="0.3">
      <c r="B294" s="10"/>
      <c r="E294" s="14"/>
    </row>
    <row r="295" spans="2:5" x14ac:dyDescent="0.3">
      <c r="B295" s="10"/>
      <c r="E295" s="14"/>
    </row>
    <row r="296" spans="2:5" x14ac:dyDescent="0.3">
      <c r="B296" s="10"/>
      <c r="E296" s="14"/>
    </row>
    <row r="297" spans="2:5" x14ac:dyDescent="0.3">
      <c r="B297" s="10"/>
      <c r="E297" s="14"/>
    </row>
    <row r="298" spans="2:5" x14ac:dyDescent="0.3">
      <c r="B298" s="10"/>
      <c r="E298" s="14"/>
    </row>
    <row r="299" spans="2:5" x14ac:dyDescent="0.3">
      <c r="B299" s="10"/>
      <c r="E299" s="14"/>
    </row>
    <row r="300" spans="2:5" x14ac:dyDescent="0.3">
      <c r="B300" s="10"/>
      <c r="E300" s="14"/>
    </row>
    <row r="301" spans="2:5" x14ac:dyDescent="0.3">
      <c r="B301" s="10"/>
      <c r="E301" s="14"/>
    </row>
    <row r="302" spans="2:5" x14ac:dyDescent="0.3">
      <c r="B302" s="10"/>
      <c r="E302" s="14"/>
    </row>
    <row r="303" spans="2:5" x14ac:dyDescent="0.3">
      <c r="B303" s="10"/>
      <c r="E303" s="14"/>
    </row>
    <row r="304" spans="2:5" x14ac:dyDescent="0.3">
      <c r="B304" s="10"/>
      <c r="E304" s="14"/>
    </row>
    <row r="305" spans="2:5" x14ac:dyDescent="0.3">
      <c r="B305" s="10"/>
      <c r="E305" s="14"/>
    </row>
    <row r="306" spans="2:5" x14ac:dyDescent="0.3">
      <c r="B306" s="10"/>
      <c r="E306" s="14"/>
    </row>
    <row r="307" spans="2:5" x14ac:dyDescent="0.3">
      <c r="B307" s="10"/>
      <c r="E307" s="14"/>
    </row>
    <row r="308" spans="2:5" x14ac:dyDescent="0.3">
      <c r="B308" s="10"/>
      <c r="E308" s="14"/>
    </row>
    <row r="309" spans="2:5" x14ac:dyDescent="0.3">
      <c r="B309" s="10"/>
      <c r="E309" s="14"/>
    </row>
    <row r="310" spans="2:5" x14ac:dyDescent="0.3">
      <c r="B310" s="10"/>
      <c r="E310" s="14"/>
    </row>
    <row r="311" spans="2:5" x14ac:dyDescent="0.3">
      <c r="B311" s="10"/>
      <c r="E311" s="14"/>
    </row>
    <row r="312" spans="2:5" x14ac:dyDescent="0.3">
      <c r="B312" s="10"/>
      <c r="E312" s="14"/>
    </row>
    <row r="313" spans="2:5" x14ac:dyDescent="0.3">
      <c r="B313" s="10"/>
      <c r="E313" s="14"/>
    </row>
    <row r="314" spans="2:5" x14ac:dyDescent="0.3">
      <c r="B314" s="10"/>
      <c r="E314" s="14"/>
    </row>
    <row r="315" spans="2:5" x14ac:dyDescent="0.3">
      <c r="B315" s="10"/>
      <c r="E315" s="14"/>
    </row>
    <row r="316" spans="2:5" x14ac:dyDescent="0.3">
      <c r="B316" s="10"/>
      <c r="E316" s="14"/>
    </row>
    <row r="317" spans="2:5" x14ac:dyDescent="0.3">
      <c r="B317" s="10"/>
      <c r="E317" s="14"/>
    </row>
    <row r="318" spans="2:5" x14ac:dyDescent="0.3">
      <c r="B318" s="10"/>
      <c r="E318" s="14"/>
    </row>
    <row r="319" spans="2:5" x14ac:dyDescent="0.3">
      <c r="B319" s="10"/>
      <c r="E319" s="14"/>
    </row>
    <row r="320" spans="2:5" x14ac:dyDescent="0.3">
      <c r="B320" s="10"/>
      <c r="E320" s="14"/>
    </row>
    <row r="321" spans="2:5" x14ac:dyDescent="0.3">
      <c r="B321" s="10"/>
      <c r="E321" s="14"/>
    </row>
    <row r="322" spans="2:5" x14ac:dyDescent="0.3">
      <c r="B322" s="10"/>
      <c r="E322" s="14"/>
    </row>
    <row r="323" spans="2:5" x14ac:dyDescent="0.3">
      <c r="B323" s="10"/>
      <c r="E323" s="14"/>
    </row>
    <row r="324" spans="2:5" x14ac:dyDescent="0.3">
      <c r="B324" s="10"/>
      <c r="E324" s="14"/>
    </row>
    <row r="325" spans="2:5" x14ac:dyDescent="0.3">
      <c r="B325" s="10"/>
      <c r="E325" s="14"/>
    </row>
    <row r="326" spans="2:5" x14ac:dyDescent="0.3">
      <c r="B326" s="10"/>
      <c r="E326" s="14"/>
    </row>
    <row r="327" spans="2:5" x14ac:dyDescent="0.3">
      <c r="B327" s="10"/>
      <c r="E327" s="14"/>
    </row>
    <row r="328" spans="2:5" x14ac:dyDescent="0.3">
      <c r="B328" s="10"/>
      <c r="E328" s="14"/>
    </row>
    <row r="329" spans="2:5" x14ac:dyDescent="0.3">
      <c r="B329" s="10"/>
      <c r="E329" s="14"/>
    </row>
    <row r="330" spans="2:5" x14ac:dyDescent="0.3">
      <c r="B330" s="10"/>
      <c r="E330" s="14"/>
    </row>
    <row r="331" spans="2:5" x14ac:dyDescent="0.3">
      <c r="B331" s="10"/>
      <c r="E331" s="14"/>
    </row>
    <row r="332" spans="2:5" x14ac:dyDescent="0.3">
      <c r="B332" s="10"/>
      <c r="E332" s="14"/>
    </row>
    <row r="333" spans="2:5" x14ac:dyDescent="0.3">
      <c r="B333" s="10"/>
      <c r="E333" s="14"/>
    </row>
    <row r="334" spans="2:5" x14ac:dyDescent="0.3">
      <c r="B334" s="10"/>
      <c r="E334" s="14"/>
    </row>
    <row r="335" spans="2:5" x14ac:dyDescent="0.3">
      <c r="B335" s="10"/>
      <c r="E335" s="14"/>
    </row>
    <row r="336" spans="2:5" x14ac:dyDescent="0.3">
      <c r="B336" s="10"/>
      <c r="E336" s="14"/>
    </row>
    <row r="337" spans="2:5" x14ac:dyDescent="0.3">
      <c r="B337" s="10"/>
      <c r="E337" s="14"/>
    </row>
    <row r="338" spans="2:5" x14ac:dyDescent="0.3">
      <c r="B338" s="10"/>
      <c r="E338" s="14"/>
    </row>
    <row r="339" spans="2:5" x14ac:dyDescent="0.3">
      <c r="B339" s="10"/>
      <c r="E339" s="14"/>
    </row>
    <row r="340" spans="2:5" x14ac:dyDescent="0.3">
      <c r="B340" s="10"/>
      <c r="E340" s="14"/>
    </row>
    <row r="341" spans="2:5" x14ac:dyDescent="0.3">
      <c r="B341" s="10"/>
      <c r="E341" s="14"/>
    </row>
    <row r="342" spans="2:5" x14ac:dyDescent="0.3">
      <c r="B342" s="10"/>
      <c r="E342" s="14"/>
    </row>
    <row r="343" spans="2:5" x14ac:dyDescent="0.3">
      <c r="B343" s="10"/>
      <c r="E343" s="14"/>
    </row>
    <row r="344" spans="2:5" x14ac:dyDescent="0.3">
      <c r="B344" s="10"/>
      <c r="E344" s="14"/>
    </row>
    <row r="345" spans="2:5" x14ac:dyDescent="0.3">
      <c r="B345" s="10"/>
      <c r="E345" s="14"/>
    </row>
    <row r="346" spans="2:5" x14ac:dyDescent="0.3">
      <c r="B346" s="10"/>
      <c r="E346" s="14"/>
    </row>
    <row r="347" spans="2:5" x14ac:dyDescent="0.3">
      <c r="B347" s="10"/>
      <c r="E347" s="14"/>
    </row>
    <row r="348" spans="2:5" x14ac:dyDescent="0.3">
      <c r="B348" s="10"/>
      <c r="E348" s="14"/>
    </row>
    <row r="349" spans="2:5" x14ac:dyDescent="0.3">
      <c r="B349" s="10"/>
      <c r="E349" s="14"/>
    </row>
    <row r="350" spans="2:5" x14ac:dyDescent="0.3">
      <c r="B350" s="10"/>
      <c r="E350" s="14"/>
    </row>
    <row r="351" spans="2:5" x14ac:dyDescent="0.3">
      <c r="B351" s="10"/>
      <c r="E351" s="14"/>
    </row>
    <row r="352" spans="2:5" x14ac:dyDescent="0.3">
      <c r="B352" s="10"/>
      <c r="E352" s="14"/>
    </row>
    <row r="353" spans="2:5" x14ac:dyDescent="0.3">
      <c r="B353" s="10"/>
      <c r="E353" s="14"/>
    </row>
    <row r="354" spans="2:5" x14ac:dyDescent="0.3">
      <c r="B354" s="10"/>
      <c r="E354" s="14"/>
    </row>
    <row r="355" spans="2:5" x14ac:dyDescent="0.3">
      <c r="B355" s="10"/>
      <c r="E355" s="14"/>
    </row>
    <row r="356" spans="2:5" x14ac:dyDescent="0.3">
      <c r="B356" s="10"/>
      <c r="E356" s="14"/>
    </row>
    <row r="357" spans="2:5" x14ac:dyDescent="0.3">
      <c r="B357" s="10"/>
      <c r="E357" s="14"/>
    </row>
    <row r="358" spans="2:5" x14ac:dyDescent="0.3">
      <c r="B358" s="10"/>
      <c r="E358" s="14"/>
    </row>
    <row r="359" spans="2:5" x14ac:dyDescent="0.3">
      <c r="B359" s="10"/>
      <c r="E359" s="14"/>
    </row>
    <row r="360" spans="2:5" x14ac:dyDescent="0.3">
      <c r="B360" s="10"/>
      <c r="E360" s="14"/>
    </row>
    <row r="361" spans="2:5" x14ac:dyDescent="0.3">
      <c r="B361" s="10"/>
      <c r="E361" s="14"/>
    </row>
    <row r="362" spans="2:5" x14ac:dyDescent="0.3">
      <c r="B362" s="10"/>
      <c r="E362" s="14"/>
    </row>
    <row r="363" spans="2:5" x14ac:dyDescent="0.3">
      <c r="B363" s="10"/>
      <c r="E363" s="14"/>
    </row>
    <row r="364" spans="2:5" x14ac:dyDescent="0.3">
      <c r="B364" s="10"/>
      <c r="E364" s="14"/>
    </row>
    <row r="365" spans="2:5" x14ac:dyDescent="0.3">
      <c r="B365" s="10"/>
      <c r="E365" s="14"/>
    </row>
    <row r="366" spans="2:5" x14ac:dyDescent="0.3">
      <c r="B366" s="10"/>
      <c r="E366" s="14"/>
    </row>
    <row r="367" spans="2:5" x14ac:dyDescent="0.3">
      <c r="B367" s="10"/>
      <c r="E367" s="14"/>
    </row>
    <row r="368" spans="2:5" x14ac:dyDescent="0.3">
      <c r="B368" s="10"/>
      <c r="E368" s="14"/>
    </row>
    <row r="369" spans="2:5" x14ac:dyDescent="0.3">
      <c r="B369" s="10"/>
      <c r="E369" s="14"/>
    </row>
    <row r="370" spans="2:5" x14ac:dyDescent="0.3">
      <c r="B370" s="10"/>
      <c r="E370" s="14"/>
    </row>
    <row r="371" spans="2:5" x14ac:dyDescent="0.3">
      <c r="B371" s="10"/>
      <c r="E371" s="14"/>
    </row>
    <row r="372" spans="2:5" x14ac:dyDescent="0.3">
      <c r="B372" s="10"/>
      <c r="E372" s="14"/>
    </row>
    <row r="373" spans="2:5" x14ac:dyDescent="0.3">
      <c r="B373" s="10"/>
      <c r="E373" s="14"/>
    </row>
    <row r="374" spans="2:5" x14ac:dyDescent="0.3">
      <c r="B374" s="10"/>
      <c r="E374" s="14"/>
    </row>
    <row r="375" spans="2:5" x14ac:dyDescent="0.3">
      <c r="B375" s="10"/>
      <c r="E375" s="14"/>
    </row>
    <row r="376" spans="2:5" x14ac:dyDescent="0.3">
      <c r="B376" s="10"/>
      <c r="E376" s="14"/>
    </row>
    <row r="377" spans="2:5" x14ac:dyDescent="0.3">
      <c r="B377" s="10"/>
      <c r="E377" s="14"/>
    </row>
    <row r="378" spans="2:5" x14ac:dyDescent="0.3">
      <c r="B378" s="10"/>
      <c r="E378" s="14"/>
    </row>
    <row r="379" spans="2:5" x14ac:dyDescent="0.3">
      <c r="B379" s="10"/>
      <c r="E379" s="14"/>
    </row>
    <row r="380" spans="2:5" x14ac:dyDescent="0.3">
      <c r="B380" s="10"/>
      <c r="E380" s="14"/>
    </row>
    <row r="381" spans="2:5" x14ac:dyDescent="0.3">
      <c r="B381" s="10"/>
      <c r="E381" s="14"/>
    </row>
    <row r="382" spans="2:5" x14ac:dyDescent="0.3">
      <c r="B382" s="10"/>
      <c r="E382" s="14"/>
    </row>
    <row r="383" spans="2:5" x14ac:dyDescent="0.3">
      <c r="B383" s="10"/>
      <c r="E383" s="14"/>
    </row>
    <row r="384" spans="2:5" x14ac:dyDescent="0.3">
      <c r="B384" s="10"/>
      <c r="E384" s="14"/>
    </row>
    <row r="385" spans="2:5" x14ac:dyDescent="0.3">
      <c r="B385" s="10"/>
      <c r="E385" s="14"/>
    </row>
    <row r="386" spans="2:5" x14ac:dyDescent="0.3">
      <c r="B386" s="10"/>
      <c r="E386" s="14"/>
    </row>
    <row r="387" spans="2:5" x14ac:dyDescent="0.3">
      <c r="B387" s="10"/>
      <c r="E387" s="14"/>
    </row>
    <row r="388" spans="2:5" x14ac:dyDescent="0.3">
      <c r="B388" s="10"/>
      <c r="E388" s="14"/>
    </row>
    <row r="389" spans="2:5" x14ac:dyDescent="0.3">
      <c r="B389" s="10"/>
      <c r="E389" s="14"/>
    </row>
    <row r="390" spans="2:5" x14ac:dyDescent="0.3">
      <c r="B390" s="10"/>
      <c r="E390" s="14"/>
    </row>
    <row r="391" spans="2:5" x14ac:dyDescent="0.3">
      <c r="B391" s="10"/>
      <c r="E391" s="14"/>
    </row>
    <row r="392" spans="2:5" x14ac:dyDescent="0.3">
      <c r="B392" s="10"/>
      <c r="E392" s="14"/>
    </row>
    <row r="393" spans="2:5" x14ac:dyDescent="0.3">
      <c r="B393" s="10"/>
      <c r="E393" s="14"/>
    </row>
    <row r="394" spans="2:5" x14ac:dyDescent="0.3">
      <c r="B394" s="10"/>
      <c r="E394" s="14"/>
    </row>
    <row r="395" spans="2:5" x14ac:dyDescent="0.3">
      <c r="B395" s="10"/>
      <c r="E395" s="14"/>
    </row>
    <row r="396" spans="2:5" x14ac:dyDescent="0.3">
      <c r="B396" s="10"/>
      <c r="E396" s="14"/>
    </row>
    <row r="397" spans="2:5" x14ac:dyDescent="0.3">
      <c r="B397" s="10"/>
      <c r="E397" s="14"/>
    </row>
    <row r="398" spans="2:5" x14ac:dyDescent="0.3">
      <c r="B398" s="10"/>
      <c r="E398" s="14"/>
    </row>
    <row r="399" spans="2:5" x14ac:dyDescent="0.3">
      <c r="B399" s="10"/>
      <c r="E399" s="14"/>
    </row>
    <row r="400" spans="2:5" x14ac:dyDescent="0.3">
      <c r="B400" s="10"/>
      <c r="E400" s="14"/>
    </row>
    <row r="401" spans="2:5" x14ac:dyDescent="0.3">
      <c r="B401" s="10"/>
      <c r="E401" s="14"/>
    </row>
    <row r="402" spans="2:5" x14ac:dyDescent="0.3">
      <c r="B402" s="10"/>
      <c r="E402" s="14"/>
    </row>
    <row r="403" spans="2:5" x14ac:dyDescent="0.3">
      <c r="B403" s="10"/>
      <c r="E403" s="14"/>
    </row>
    <row r="404" spans="2:5" x14ac:dyDescent="0.3">
      <c r="B404" s="10"/>
      <c r="E404" s="14"/>
    </row>
    <row r="405" spans="2:5" x14ac:dyDescent="0.3">
      <c r="B405" s="10"/>
      <c r="E405" s="14"/>
    </row>
    <row r="406" spans="2:5" x14ac:dyDescent="0.3">
      <c r="B406" s="10"/>
      <c r="E406" s="14"/>
    </row>
    <row r="407" spans="2:5" x14ac:dyDescent="0.3">
      <c r="B407" s="10"/>
      <c r="E407" s="14"/>
    </row>
    <row r="408" spans="2:5" x14ac:dyDescent="0.3">
      <c r="B408" s="10"/>
      <c r="E408" s="14"/>
    </row>
    <row r="409" spans="2:5" x14ac:dyDescent="0.3">
      <c r="B409" s="10"/>
      <c r="E409" s="14"/>
    </row>
    <row r="410" spans="2:5" x14ac:dyDescent="0.3">
      <c r="B410" s="10"/>
      <c r="E410" s="14"/>
    </row>
    <row r="411" spans="2:5" x14ac:dyDescent="0.3">
      <c r="B411" s="10"/>
      <c r="E411" s="14"/>
    </row>
    <row r="412" spans="2:5" x14ac:dyDescent="0.3">
      <c r="B412" s="10"/>
      <c r="E412" s="14"/>
    </row>
    <row r="413" spans="2:5" x14ac:dyDescent="0.3">
      <c r="B413" s="10"/>
      <c r="E413" s="14"/>
    </row>
    <row r="414" spans="2:5" x14ac:dyDescent="0.3">
      <c r="B414" s="10"/>
      <c r="E414" s="14"/>
    </row>
    <row r="415" spans="2:5" x14ac:dyDescent="0.3">
      <c r="B415" s="10"/>
      <c r="E415" s="14"/>
    </row>
    <row r="416" spans="2:5" x14ac:dyDescent="0.3">
      <c r="B416" s="10"/>
      <c r="E416" s="14"/>
    </row>
    <row r="417" spans="2:5" x14ac:dyDescent="0.3">
      <c r="B417" s="10"/>
      <c r="E417" s="14"/>
    </row>
    <row r="418" spans="2:5" x14ac:dyDescent="0.3">
      <c r="B418" s="10"/>
      <c r="E418" s="14"/>
    </row>
    <row r="419" spans="2:5" x14ac:dyDescent="0.3">
      <c r="B419" s="10"/>
      <c r="E419" s="14"/>
    </row>
    <row r="420" spans="2:5" x14ac:dyDescent="0.3">
      <c r="B420" s="10"/>
      <c r="E420" s="14"/>
    </row>
    <row r="421" spans="2:5" x14ac:dyDescent="0.3">
      <c r="B421" s="10"/>
      <c r="E421" s="14"/>
    </row>
    <row r="422" spans="2:5" x14ac:dyDescent="0.3">
      <c r="B422" s="10"/>
      <c r="E422" s="14"/>
    </row>
    <row r="423" spans="2:5" x14ac:dyDescent="0.3">
      <c r="B423" s="10"/>
      <c r="E423" s="14"/>
    </row>
    <row r="424" spans="2:5" x14ac:dyDescent="0.3">
      <c r="B424" s="10"/>
      <c r="E424" s="14"/>
    </row>
    <row r="425" spans="2:5" x14ac:dyDescent="0.3">
      <c r="B425" s="10"/>
      <c r="E425" s="14"/>
    </row>
    <row r="426" spans="2:5" x14ac:dyDescent="0.3">
      <c r="B426" s="10"/>
      <c r="E426" s="14"/>
    </row>
    <row r="427" spans="2:5" x14ac:dyDescent="0.3">
      <c r="B427" s="10"/>
      <c r="E427" s="14"/>
    </row>
    <row r="428" spans="2:5" x14ac:dyDescent="0.3">
      <c r="B428" s="10"/>
      <c r="E428" s="14"/>
    </row>
    <row r="429" spans="2:5" x14ac:dyDescent="0.3">
      <c r="B429" s="10"/>
      <c r="E429" s="14"/>
    </row>
    <row r="430" spans="2:5" x14ac:dyDescent="0.3">
      <c r="B430" s="10"/>
      <c r="E430" s="14"/>
    </row>
    <row r="431" spans="2:5" x14ac:dyDescent="0.3">
      <c r="B431" s="10"/>
      <c r="E431" s="14"/>
    </row>
    <row r="432" spans="2:5" x14ac:dyDescent="0.3">
      <c r="B432" s="10"/>
      <c r="E432" s="14"/>
    </row>
    <row r="433" spans="2:5" x14ac:dyDescent="0.3">
      <c r="B433" s="10"/>
      <c r="E433" s="14"/>
    </row>
    <row r="434" spans="2:5" x14ac:dyDescent="0.3">
      <c r="B434" s="10"/>
      <c r="E434" s="14"/>
    </row>
    <row r="435" spans="2:5" x14ac:dyDescent="0.3">
      <c r="B435" s="10"/>
      <c r="E435" s="14"/>
    </row>
    <row r="436" spans="2:5" x14ac:dyDescent="0.3">
      <c r="B436" s="10"/>
      <c r="E436" s="14"/>
    </row>
    <row r="437" spans="2:5" x14ac:dyDescent="0.3">
      <c r="B437" s="10"/>
      <c r="E437" s="14"/>
    </row>
    <row r="438" spans="2:5" x14ac:dyDescent="0.3">
      <c r="B438" s="10"/>
      <c r="E438" s="14"/>
    </row>
    <row r="439" spans="2:5" x14ac:dyDescent="0.3">
      <c r="B439" s="10"/>
      <c r="E439" s="14"/>
    </row>
    <row r="440" spans="2:5" x14ac:dyDescent="0.3">
      <c r="B440" s="10"/>
      <c r="E440" s="14"/>
    </row>
    <row r="441" spans="2:5" x14ac:dyDescent="0.3">
      <c r="B441" s="10"/>
      <c r="E441" s="14"/>
    </row>
    <row r="442" spans="2:5" x14ac:dyDescent="0.3">
      <c r="B442" s="10"/>
      <c r="E442" s="14"/>
    </row>
    <row r="443" spans="2:5" x14ac:dyDescent="0.3">
      <c r="B443" s="10"/>
      <c r="E443" s="14"/>
    </row>
    <row r="444" spans="2:5" x14ac:dyDescent="0.3">
      <c r="B444" s="10"/>
      <c r="E444" s="14"/>
    </row>
    <row r="445" spans="2:5" x14ac:dyDescent="0.3">
      <c r="B445" s="10"/>
      <c r="E445" s="14"/>
    </row>
    <row r="446" spans="2:5" x14ac:dyDescent="0.3">
      <c r="B446" s="10"/>
      <c r="E446" s="14"/>
    </row>
    <row r="447" spans="2:5" x14ac:dyDescent="0.3">
      <c r="B447" s="10"/>
      <c r="E447" s="14"/>
    </row>
    <row r="448" spans="2:5" x14ac:dyDescent="0.3">
      <c r="B448" s="10"/>
      <c r="E448" s="14"/>
    </row>
    <row r="449" spans="2:5" x14ac:dyDescent="0.3">
      <c r="B449" s="10"/>
      <c r="E449" s="14"/>
    </row>
    <row r="450" spans="2:5" x14ac:dyDescent="0.3">
      <c r="B450" s="10"/>
      <c r="E450" s="14"/>
    </row>
    <row r="451" spans="2:5" x14ac:dyDescent="0.3">
      <c r="B451" s="10"/>
      <c r="E451" s="14"/>
    </row>
    <row r="452" spans="2:5" x14ac:dyDescent="0.3">
      <c r="B452" s="10"/>
      <c r="E452" s="14"/>
    </row>
    <row r="453" spans="2:5" x14ac:dyDescent="0.3">
      <c r="B453" s="10"/>
      <c r="E453" s="14"/>
    </row>
    <row r="454" spans="2:5" x14ac:dyDescent="0.3">
      <c r="B454" s="10"/>
      <c r="E454" s="14"/>
    </row>
    <row r="455" spans="2:5" x14ac:dyDescent="0.3">
      <c r="B455" s="10"/>
      <c r="E455" s="14"/>
    </row>
    <row r="456" spans="2:5" x14ac:dyDescent="0.3">
      <c r="B456" s="10"/>
      <c r="E456" s="14"/>
    </row>
    <row r="457" spans="2:5" x14ac:dyDescent="0.3">
      <c r="B457" s="10"/>
      <c r="E457" s="14"/>
    </row>
    <row r="458" spans="2:5" x14ac:dyDescent="0.3">
      <c r="B458" s="10"/>
      <c r="E458" s="14"/>
    </row>
    <row r="459" spans="2:5" x14ac:dyDescent="0.3">
      <c r="B459" s="10"/>
      <c r="E459" s="14"/>
    </row>
    <row r="460" spans="2:5" x14ac:dyDescent="0.3">
      <c r="B460" s="10"/>
      <c r="E460" s="14"/>
    </row>
    <row r="461" spans="2:5" x14ac:dyDescent="0.3">
      <c r="B461" s="10"/>
      <c r="E461" s="14"/>
    </row>
    <row r="462" spans="2:5" x14ac:dyDescent="0.3">
      <c r="B462" s="10"/>
      <c r="E462" s="14"/>
    </row>
    <row r="463" spans="2:5" x14ac:dyDescent="0.3">
      <c r="B463" s="10"/>
      <c r="E463" s="14"/>
    </row>
    <row r="464" spans="2:5" x14ac:dyDescent="0.3">
      <c r="B464" s="10"/>
      <c r="E464" s="14"/>
    </row>
    <row r="465" spans="2:5" x14ac:dyDescent="0.3">
      <c r="B465" s="10"/>
      <c r="E465" s="14"/>
    </row>
    <row r="466" spans="2:5" x14ac:dyDescent="0.3">
      <c r="B466" s="10"/>
      <c r="E466" s="14"/>
    </row>
    <row r="467" spans="2:5" x14ac:dyDescent="0.3">
      <c r="B467" s="10"/>
      <c r="E467" s="14"/>
    </row>
    <row r="468" spans="2:5" x14ac:dyDescent="0.3">
      <c r="B468" s="10"/>
      <c r="E468" s="14"/>
    </row>
    <row r="469" spans="2:5" x14ac:dyDescent="0.3">
      <c r="B469" s="10"/>
      <c r="E469" s="14"/>
    </row>
    <row r="470" spans="2:5" x14ac:dyDescent="0.3">
      <c r="B470" s="10"/>
      <c r="E470" s="14"/>
    </row>
    <row r="471" spans="2:5" x14ac:dyDescent="0.3">
      <c r="B471" s="10"/>
      <c r="E471" s="14"/>
    </row>
    <row r="472" spans="2:5" x14ac:dyDescent="0.3">
      <c r="B472" s="10"/>
      <c r="E472" s="14"/>
    </row>
    <row r="473" spans="2:5" x14ac:dyDescent="0.3">
      <c r="B473" s="10"/>
      <c r="E473" s="14"/>
    </row>
    <row r="474" spans="2:5" x14ac:dyDescent="0.3">
      <c r="B474" s="10"/>
      <c r="E474" s="14"/>
    </row>
    <row r="475" spans="2:5" x14ac:dyDescent="0.3">
      <c r="B475" s="10"/>
      <c r="E475" s="14"/>
    </row>
    <row r="476" spans="2:5" x14ac:dyDescent="0.3">
      <c r="B476" s="10"/>
      <c r="E476" s="14"/>
    </row>
    <row r="477" spans="2:5" x14ac:dyDescent="0.3">
      <c r="B477" s="10"/>
      <c r="E477" s="14"/>
    </row>
    <row r="478" spans="2:5" x14ac:dyDescent="0.3">
      <c r="B478" s="10"/>
      <c r="E478" s="14"/>
    </row>
    <row r="479" spans="2:5" x14ac:dyDescent="0.3">
      <c r="B479" s="10"/>
      <c r="E479" s="14"/>
    </row>
    <row r="480" spans="2:5" x14ac:dyDescent="0.3">
      <c r="B480" s="10"/>
      <c r="E480" s="14"/>
    </row>
    <row r="481" spans="2:5" x14ac:dyDescent="0.3">
      <c r="B481" s="10"/>
      <c r="E481" s="14"/>
    </row>
    <row r="482" spans="2:5" x14ac:dyDescent="0.3">
      <c r="B482" s="10"/>
      <c r="E482" s="14"/>
    </row>
    <row r="483" spans="2:5" x14ac:dyDescent="0.3">
      <c r="B483" s="10"/>
      <c r="E483" s="14"/>
    </row>
    <row r="484" spans="2:5" x14ac:dyDescent="0.3">
      <c r="B484" s="10"/>
      <c r="E484" s="14"/>
    </row>
    <row r="485" spans="2:5" x14ac:dyDescent="0.3">
      <c r="B485" s="10"/>
      <c r="E485" s="14"/>
    </row>
    <row r="486" spans="2:5" x14ac:dyDescent="0.3">
      <c r="B486" s="10"/>
      <c r="E486" s="14"/>
    </row>
    <row r="487" spans="2:5" x14ac:dyDescent="0.3">
      <c r="B487" s="10"/>
      <c r="E487" s="14"/>
    </row>
    <row r="488" spans="2:5" x14ac:dyDescent="0.3">
      <c r="B488" s="10"/>
      <c r="E488" s="14"/>
    </row>
    <row r="489" spans="2:5" x14ac:dyDescent="0.3">
      <c r="B489" s="10"/>
      <c r="E489" s="14"/>
    </row>
    <row r="490" spans="2:5" x14ac:dyDescent="0.3">
      <c r="B490" s="10"/>
      <c r="E490" s="14"/>
    </row>
    <row r="491" spans="2:5" x14ac:dyDescent="0.3">
      <c r="B491" s="10"/>
      <c r="E491" s="14"/>
    </row>
    <row r="492" spans="2:5" x14ac:dyDescent="0.3">
      <c r="B492" s="10"/>
      <c r="E492" s="14"/>
    </row>
    <row r="493" spans="2:5" x14ac:dyDescent="0.3">
      <c r="B493" s="10"/>
      <c r="E493" s="14"/>
    </row>
    <row r="494" spans="2:5" x14ac:dyDescent="0.3">
      <c r="B494" s="10"/>
      <c r="E494" s="14"/>
    </row>
    <row r="495" spans="2:5" x14ac:dyDescent="0.3">
      <c r="B495" s="10"/>
      <c r="E495" s="14"/>
    </row>
    <row r="496" spans="2:5" x14ac:dyDescent="0.3">
      <c r="B496" s="10"/>
      <c r="E496" s="14"/>
    </row>
    <row r="497" spans="2:5" x14ac:dyDescent="0.3">
      <c r="B497" s="10"/>
      <c r="E497" s="14"/>
    </row>
    <row r="498" spans="2:5" x14ac:dyDescent="0.3">
      <c r="B498" s="10"/>
      <c r="E498" s="14"/>
    </row>
    <row r="499" spans="2:5" x14ac:dyDescent="0.3">
      <c r="B499" s="10"/>
      <c r="E499" s="14"/>
    </row>
    <row r="500" spans="2:5" x14ac:dyDescent="0.3">
      <c r="B500" s="10"/>
      <c r="E500" s="14"/>
    </row>
    <row r="501" spans="2:5" x14ac:dyDescent="0.3">
      <c r="B501" s="10"/>
      <c r="E501" s="14"/>
    </row>
    <row r="502" spans="2:5" x14ac:dyDescent="0.3">
      <c r="B502" s="10"/>
      <c r="E502" s="14"/>
    </row>
    <row r="503" spans="2:5" x14ac:dyDescent="0.3">
      <c r="B503" s="10"/>
      <c r="E503" s="14"/>
    </row>
    <row r="504" spans="2:5" x14ac:dyDescent="0.3">
      <c r="B504" s="10"/>
      <c r="E504" s="14"/>
    </row>
    <row r="505" spans="2:5" x14ac:dyDescent="0.3">
      <c r="B505" s="10"/>
      <c r="E505" s="14"/>
    </row>
    <row r="506" spans="2:5" x14ac:dyDescent="0.3">
      <c r="B506" s="10"/>
      <c r="E506" s="14"/>
    </row>
    <row r="507" spans="2:5" x14ac:dyDescent="0.3">
      <c r="B507" s="10"/>
      <c r="E507" s="14"/>
    </row>
    <row r="508" spans="2:5" x14ac:dyDescent="0.3">
      <c r="B508" s="10"/>
      <c r="E508" s="14"/>
    </row>
    <row r="509" spans="2:5" x14ac:dyDescent="0.3">
      <c r="B509" s="10"/>
      <c r="E509" s="14"/>
    </row>
    <row r="510" spans="2:5" x14ac:dyDescent="0.3">
      <c r="B510" s="10"/>
      <c r="E510" s="14"/>
    </row>
    <row r="511" spans="2:5" x14ac:dyDescent="0.3">
      <c r="B511" s="10"/>
      <c r="E511" s="14"/>
    </row>
    <row r="512" spans="2:5" x14ac:dyDescent="0.3">
      <c r="B512" s="10"/>
      <c r="E512" s="14"/>
    </row>
    <row r="513" spans="2:5" x14ac:dyDescent="0.3">
      <c r="B513" s="10"/>
      <c r="E513" s="14"/>
    </row>
    <row r="514" spans="2:5" x14ac:dyDescent="0.3">
      <c r="B514" s="10"/>
      <c r="E514" s="14"/>
    </row>
    <row r="515" spans="2:5" x14ac:dyDescent="0.3">
      <c r="B515" s="10"/>
      <c r="E515" s="14"/>
    </row>
    <row r="516" spans="2:5" x14ac:dyDescent="0.3">
      <c r="B516" s="10"/>
      <c r="E516" s="14"/>
    </row>
    <row r="517" spans="2:5" x14ac:dyDescent="0.3">
      <c r="B517" s="10"/>
      <c r="E517" s="14"/>
    </row>
    <row r="518" spans="2:5" x14ac:dyDescent="0.3">
      <c r="B518" s="10"/>
      <c r="E518" s="14"/>
    </row>
    <row r="519" spans="2:5" x14ac:dyDescent="0.3">
      <c r="B519" s="10"/>
      <c r="E519" s="14"/>
    </row>
    <row r="520" spans="2:5" x14ac:dyDescent="0.3">
      <c r="B520" s="10"/>
      <c r="E520" s="14"/>
    </row>
    <row r="521" spans="2:5" x14ac:dyDescent="0.3">
      <c r="B521" s="10"/>
      <c r="E521" s="14"/>
    </row>
    <row r="522" spans="2:5" x14ac:dyDescent="0.3">
      <c r="B522" s="10"/>
      <c r="E522" s="14"/>
    </row>
    <row r="523" spans="2:5" x14ac:dyDescent="0.3">
      <c r="B523" s="10"/>
      <c r="E523" s="14"/>
    </row>
    <row r="524" spans="2:5" x14ac:dyDescent="0.3">
      <c r="B524" s="10"/>
      <c r="E524" s="14"/>
    </row>
    <row r="525" spans="2:5" x14ac:dyDescent="0.3">
      <c r="B525" s="10"/>
      <c r="E525" s="14"/>
    </row>
    <row r="526" spans="2:5" x14ac:dyDescent="0.3">
      <c r="B526" s="10"/>
      <c r="E526" s="14"/>
    </row>
    <row r="527" spans="2:5" x14ac:dyDescent="0.3">
      <c r="B527" s="10"/>
      <c r="E527" s="14"/>
    </row>
    <row r="528" spans="2:5" x14ac:dyDescent="0.3">
      <c r="B528" s="10"/>
      <c r="E528" s="14"/>
    </row>
    <row r="529" spans="2:5" x14ac:dyDescent="0.3">
      <c r="B529" s="10"/>
      <c r="E529" s="14"/>
    </row>
    <row r="530" spans="2:5" x14ac:dyDescent="0.3">
      <c r="B530" s="10"/>
      <c r="E530" s="14"/>
    </row>
    <row r="531" spans="2:5" x14ac:dyDescent="0.3">
      <c r="B531" s="10"/>
      <c r="E531" s="14"/>
    </row>
    <row r="532" spans="2:5" x14ac:dyDescent="0.3">
      <c r="B532" s="10"/>
      <c r="E532" s="14"/>
    </row>
    <row r="533" spans="2:5" x14ac:dyDescent="0.3">
      <c r="B533" s="10"/>
      <c r="E533" s="14"/>
    </row>
    <row r="534" spans="2:5" x14ac:dyDescent="0.3">
      <c r="B534" s="10"/>
      <c r="E534" s="14"/>
    </row>
    <row r="535" spans="2:5" x14ac:dyDescent="0.3">
      <c r="B535" s="10"/>
      <c r="E535" s="14"/>
    </row>
    <row r="536" spans="2:5" x14ac:dyDescent="0.3">
      <c r="B536" s="10"/>
      <c r="E536" s="14"/>
    </row>
    <row r="537" spans="2:5" x14ac:dyDescent="0.3">
      <c r="B537" s="10"/>
      <c r="E537" s="14"/>
    </row>
    <row r="538" spans="2:5" x14ac:dyDescent="0.3">
      <c r="B538" s="10"/>
      <c r="E538" s="14"/>
    </row>
    <row r="539" spans="2:5" x14ac:dyDescent="0.3">
      <c r="B539" s="10"/>
      <c r="E539" s="14"/>
    </row>
    <row r="540" spans="2:5" x14ac:dyDescent="0.3">
      <c r="B540" s="10"/>
      <c r="E540" s="14"/>
    </row>
    <row r="541" spans="2:5" x14ac:dyDescent="0.3">
      <c r="B541" s="10"/>
      <c r="E541" s="14"/>
    </row>
    <row r="542" spans="2:5" x14ac:dyDescent="0.3">
      <c r="B542" s="10"/>
      <c r="E542" s="14"/>
    </row>
    <row r="543" spans="2:5" x14ac:dyDescent="0.3">
      <c r="B543" s="10"/>
      <c r="E543" s="14"/>
    </row>
    <row r="544" spans="2:5" x14ac:dyDescent="0.3">
      <c r="B544" s="10"/>
      <c r="E544" s="14"/>
    </row>
    <row r="545" spans="2:5" x14ac:dyDescent="0.3">
      <c r="B545" s="10"/>
      <c r="E545" s="14"/>
    </row>
    <row r="546" spans="2:5" x14ac:dyDescent="0.3">
      <c r="B546" s="10"/>
      <c r="E546" s="14"/>
    </row>
    <row r="547" spans="2:5" x14ac:dyDescent="0.3">
      <c r="B547" s="10"/>
      <c r="E547" s="14"/>
    </row>
    <row r="548" spans="2:5" x14ac:dyDescent="0.3">
      <c r="B548" s="10"/>
      <c r="E548" s="14"/>
    </row>
    <row r="549" spans="2:5" x14ac:dyDescent="0.3">
      <c r="B549" s="10"/>
      <c r="E549" s="14"/>
    </row>
    <row r="550" spans="2:5" x14ac:dyDescent="0.3">
      <c r="B550" s="10"/>
      <c r="E550" s="14"/>
    </row>
    <row r="551" spans="2:5" x14ac:dyDescent="0.3">
      <c r="B551" s="10"/>
      <c r="E551" s="14"/>
    </row>
    <row r="552" spans="2:5" x14ac:dyDescent="0.3">
      <c r="B552" s="10"/>
      <c r="E552" s="14"/>
    </row>
    <row r="553" spans="2:5" x14ac:dyDescent="0.3">
      <c r="B553" s="10"/>
      <c r="E553" s="14"/>
    </row>
    <row r="554" spans="2:5" x14ac:dyDescent="0.3">
      <c r="B554" s="10"/>
      <c r="E554" s="14"/>
    </row>
    <row r="555" spans="2:5" x14ac:dyDescent="0.3">
      <c r="B555" s="10"/>
      <c r="E555" s="14"/>
    </row>
    <row r="556" spans="2:5" x14ac:dyDescent="0.3">
      <c r="B556" s="10"/>
      <c r="E556" s="14"/>
    </row>
    <row r="557" spans="2:5" x14ac:dyDescent="0.3">
      <c r="B557" s="10"/>
      <c r="E557" s="14"/>
    </row>
    <row r="558" spans="2:5" x14ac:dyDescent="0.3">
      <c r="B558" s="10"/>
      <c r="E558" s="14"/>
    </row>
    <row r="559" spans="2:5" x14ac:dyDescent="0.3">
      <c r="B559" s="10"/>
      <c r="E559" s="14"/>
    </row>
    <row r="560" spans="2:5" x14ac:dyDescent="0.3">
      <c r="B560" s="10"/>
      <c r="E560" s="14"/>
    </row>
    <row r="561" spans="2:5" x14ac:dyDescent="0.3">
      <c r="B561" s="10"/>
      <c r="E561" s="14"/>
    </row>
    <row r="562" spans="2:5" x14ac:dyDescent="0.3">
      <c r="B562" s="10"/>
      <c r="E562" s="14"/>
    </row>
    <row r="563" spans="2:5" x14ac:dyDescent="0.3">
      <c r="B563" s="10"/>
      <c r="E563" s="14"/>
    </row>
    <row r="564" spans="2:5" x14ac:dyDescent="0.3">
      <c r="B564" s="10"/>
      <c r="E564" s="14"/>
    </row>
    <row r="565" spans="2:5" x14ac:dyDescent="0.3">
      <c r="B565" s="10"/>
      <c r="E565" s="14"/>
    </row>
    <row r="566" spans="2:5" x14ac:dyDescent="0.3">
      <c r="B566" s="10"/>
      <c r="E566" s="14"/>
    </row>
    <row r="567" spans="2:5" x14ac:dyDescent="0.3">
      <c r="B567" s="10"/>
      <c r="E567" s="14"/>
    </row>
    <row r="568" spans="2:5" x14ac:dyDescent="0.3">
      <c r="B568" s="10"/>
      <c r="E568" s="14"/>
    </row>
    <row r="569" spans="2:5" x14ac:dyDescent="0.3">
      <c r="B569" s="10"/>
      <c r="E569" s="14"/>
    </row>
    <row r="570" spans="2:5" x14ac:dyDescent="0.3">
      <c r="B570" s="10"/>
      <c r="E570" s="14"/>
    </row>
    <row r="571" spans="2:5" x14ac:dyDescent="0.3">
      <c r="B571" s="10"/>
      <c r="E571" s="14"/>
    </row>
    <row r="572" spans="2:5" x14ac:dyDescent="0.3">
      <c r="B572" s="10"/>
      <c r="E572" s="14"/>
    </row>
    <row r="573" spans="2:5" x14ac:dyDescent="0.3">
      <c r="B573" s="10"/>
      <c r="E573" s="14"/>
    </row>
    <row r="574" spans="2:5" x14ac:dyDescent="0.3">
      <c r="B574" s="10"/>
      <c r="E574" s="14"/>
    </row>
    <row r="575" spans="2:5" x14ac:dyDescent="0.3">
      <c r="B575" s="10"/>
      <c r="E575" s="14"/>
    </row>
    <row r="576" spans="2:5" x14ac:dyDescent="0.3">
      <c r="B576" s="10"/>
      <c r="E576" s="14"/>
    </row>
    <row r="577" spans="2:5" x14ac:dyDescent="0.3">
      <c r="B577" s="10"/>
      <c r="E577" s="14"/>
    </row>
    <row r="578" spans="2:5" x14ac:dyDescent="0.3">
      <c r="B578" s="10"/>
      <c r="E578" s="14"/>
    </row>
    <row r="579" spans="2:5" x14ac:dyDescent="0.3">
      <c r="B579" s="10"/>
      <c r="E579" s="14"/>
    </row>
    <row r="580" spans="2:5" x14ac:dyDescent="0.3">
      <c r="B580" s="10"/>
      <c r="E580" s="14"/>
    </row>
    <row r="581" spans="2:5" x14ac:dyDescent="0.3">
      <c r="B581" s="10"/>
      <c r="E581" s="14"/>
    </row>
    <row r="582" spans="2:5" x14ac:dyDescent="0.3">
      <c r="B582" s="10"/>
      <c r="E582" s="14"/>
    </row>
    <row r="583" spans="2:5" x14ac:dyDescent="0.3">
      <c r="B583" s="10"/>
      <c r="E583" s="14"/>
    </row>
    <row r="584" spans="2:5" x14ac:dyDescent="0.3">
      <c r="B584" s="10"/>
      <c r="E584" s="14"/>
    </row>
    <row r="585" spans="2:5" x14ac:dyDescent="0.3">
      <c r="B585" s="10"/>
      <c r="E585" s="14"/>
    </row>
    <row r="586" spans="2:5" x14ac:dyDescent="0.3">
      <c r="B586" s="10"/>
      <c r="E586" s="14"/>
    </row>
    <row r="587" spans="2:5" x14ac:dyDescent="0.3">
      <c r="B587" s="10"/>
      <c r="E587" s="14"/>
    </row>
    <row r="588" spans="2:5" x14ac:dyDescent="0.3">
      <c r="B588" s="10"/>
      <c r="E588" s="14"/>
    </row>
    <row r="589" spans="2:5" x14ac:dyDescent="0.3">
      <c r="B589" s="10"/>
      <c r="E589" s="14"/>
    </row>
    <row r="590" spans="2:5" x14ac:dyDescent="0.3">
      <c r="B590" s="10"/>
      <c r="E590" s="14"/>
    </row>
    <row r="591" spans="2:5" x14ac:dyDescent="0.3">
      <c r="B591" s="10"/>
      <c r="E591" s="14"/>
    </row>
    <row r="592" spans="2:5" x14ac:dyDescent="0.3">
      <c r="B592" s="10"/>
      <c r="E592" s="14"/>
    </row>
    <row r="593" spans="2:5" x14ac:dyDescent="0.3">
      <c r="B593" s="10"/>
      <c r="E593" s="14"/>
    </row>
    <row r="594" spans="2:5" x14ac:dyDescent="0.3">
      <c r="B594" s="10"/>
      <c r="E594" s="14"/>
    </row>
    <row r="595" spans="2:5" x14ac:dyDescent="0.3">
      <c r="B595" s="10"/>
      <c r="E595" s="14"/>
    </row>
    <row r="596" spans="2:5" x14ac:dyDescent="0.3">
      <c r="B596" s="10"/>
      <c r="E596" s="14"/>
    </row>
    <row r="597" spans="2:5" x14ac:dyDescent="0.3">
      <c r="B597" s="10"/>
      <c r="E597" s="14"/>
    </row>
    <row r="598" spans="2:5" x14ac:dyDescent="0.3">
      <c r="B598" s="10"/>
      <c r="E598" s="14"/>
    </row>
    <row r="599" spans="2:5" x14ac:dyDescent="0.3">
      <c r="B599" s="10"/>
      <c r="E599" s="14"/>
    </row>
    <row r="600" spans="2:5" x14ac:dyDescent="0.3">
      <c r="B600" s="10"/>
      <c r="E600" s="14"/>
    </row>
    <row r="601" spans="2:5" x14ac:dyDescent="0.3">
      <c r="B601" s="10"/>
      <c r="E601" s="14"/>
    </row>
    <row r="602" spans="2:5" x14ac:dyDescent="0.3">
      <c r="B602" s="10"/>
      <c r="E602" s="14"/>
    </row>
    <row r="603" spans="2:5" x14ac:dyDescent="0.3">
      <c r="B603" s="10"/>
      <c r="E603" s="14"/>
    </row>
    <row r="604" spans="2:5" x14ac:dyDescent="0.3">
      <c r="B604" s="10"/>
      <c r="E604" s="14"/>
    </row>
    <row r="605" spans="2:5" x14ac:dyDescent="0.3">
      <c r="B605" s="10"/>
      <c r="E605" s="14"/>
    </row>
    <row r="606" spans="2:5" x14ac:dyDescent="0.3">
      <c r="B606" s="10"/>
      <c r="E606" s="14"/>
    </row>
    <row r="607" spans="2:5" x14ac:dyDescent="0.3">
      <c r="B607" s="10"/>
      <c r="E607" s="14"/>
    </row>
    <row r="608" spans="2:5" x14ac:dyDescent="0.3">
      <c r="B608" s="10"/>
      <c r="E608" s="14"/>
    </row>
    <row r="609" spans="2:5" x14ac:dyDescent="0.3">
      <c r="B609" s="10"/>
      <c r="E609" s="14"/>
    </row>
    <row r="610" spans="2:5" x14ac:dyDescent="0.3">
      <c r="B610" s="10"/>
      <c r="E610" s="14"/>
    </row>
    <row r="611" spans="2:5" x14ac:dyDescent="0.3">
      <c r="B611" s="10"/>
      <c r="E611" s="14"/>
    </row>
    <row r="612" spans="2:5" x14ac:dyDescent="0.3">
      <c r="B612" s="10"/>
      <c r="E612" s="14"/>
    </row>
    <row r="613" spans="2:5" x14ac:dyDescent="0.3">
      <c r="B613" s="10"/>
      <c r="E613" s="14"/>
    </row>
    <row r="614" spans="2:5" x14ac:dyDescent="0.3">
      <c r="B614" s="10"/>
      <c r="E614" s="14"/>
    </row>
    <row r="615" spans="2:5" x14ac:dyDescent="0.3">
      <c r="B615" s="10"/>
      <c r="E615" s="14"/>
    </row>
    <row r="616" spans="2:5" x14ac:dyDescent="0.3">
      <c r="B616" s="10"/>
      <c r="E616" s="14"/>
    </row>
    <row r="617" spans="2:5" x14ac:dyDescent="0.3">
      <c r="B617" s="10"/>
      <c r="E617" s="14"/>
    </row>
    <row r="618" spans="2:5" x14ac:dyDescent="0.3">
      <c r="B618" s="10"/>
      <c r="E618" s="14"/>
    </row>
    <row r="619" spans="2:5" x14ac:dyDescent="0.3">
      <c r="B619" s="10"/>
      <c r="E619" s="14"/>
    </row>
    <row r="620" spans="2:5" x14ac:dyDescent="0.3">
      <c r="B620" s="10"/>
      <c r="E620" s="14"/>
    </row>
    <row r="621" spans="2:5" x14ac:dyDescent="0.3">
      <c r="B621" s="10"/>
      <c r="E621" s="14"/>
    </row>
    <row r="622" spans="2:5" x14ac:dyDescent="0.3">
      <c r="B622" s="10"/>
      <c r="E622" s="14"/>
    </row>
    <row r="623" spans="2:5" x14ac:dyDescent="0.3">
      <c r="B623" s="10"/>
      <c r="E623" s="14"/>
    </row>
    <row r="624" spans="2:5" x14ac:dyDescent="0.3">
      <c r="B624" s="10"/>
      <c r="E624" s="14"/>
    </row>
    <row r="625" spans="2:5" x14ac:dyDescent="0.3">
      <c r="B625" s="10"/>
      <c r="E625" s="14"/>
    </row>
    <row r="626" spans="2:5" x14ac:dyDescent="0.3">
      <c r="B626" s="10"/>
      <c r="E626" s="14"/>
    </row>
    <row r="627" spans="2:5" x14ac:dyDescent="0.3">
      <c r="B627" s="10"/>
      <c r="E627" s="14"/>
    </row>
    <row r="628" spans="2:5" x14ac:dyDescent="0.3">
      <c r="B628" s="10"/>
      <c r="E628" s="14"/>
    </row>
    <row r="629" spans="2:5" x14ac:dyDescent="0.3">
      <c r="B629" s="10"/>
      <c r="E629" s="14"/>
    </row>
    <row r="630" spans="2:5" x14ac:dyDescent="0.3">
      <c r="B630" s="10"/>
      <c r="E630" s="14"/>
    </row>
    <row r="631" spans="2:5" x14ac:dyDescent="0.3">
      <c r="B631" s="10"/>
      <c r="E631" s="14"/>
    </row>
    <row r="632" spans="2:5" x14ac:dyDescent="0.3">
      <c r="B632" s="10"/>
      <c r="E632" s="14"/>
    </row>
    <row r="633" spans="2:5" x14ac:dyDescent="0.3">
      <c r="B633" s="10"/>
      <c r="E633" s="14"/>
    </row>
    <row r="634" spans="2:5" x14ac:dyDescent="0.3">
      <c r="B634" s="10"/>
      <c r="E634" s="14"/>
    </row>
    <row r="635" spans="2:5" x14ac:dyDescent="0.3">
      <c r="B635" s="10"/>
      <c r="E635" s="14"/>
    </row>
    <row r="636" spans="2:5" x14ac:dyDescent="0.3">
      <c r="B636" s="10"/>
      <c r="E636" s="14"/>
    </row>
    <row r="637" spans="2:5" x14ac:dyDescent="0.3">
      <c r="B637" s="10"/>
      <c r="E637" s="14"/>
    </row>
    <row r="638" spans="2:5" x14ac:dyDescent="0.3">
      <c r="B638" s="10"/>
      <c r="E638" s="14"/>
    </row>
    <row r="639" spans="2:5" x14ac:dyDescent="0.3">
      <c r="B639" s="10"/>
      <c r="E639" s="14"/>
    </row>
    <row r="640" spans="2:5" x14ac:dyDescent="0.3">
      <c r="B640" s="10"/>
      <c r="E640" s="14"/>
    </row>
    <row r="641" spans="2:5" x14ac:dyDescent="0.3">
      <c r="B641" s="10"/>
      <c r="E641" s="14"/>
    </row>
    <row r="642" spans="2:5" x14ac:dyDescent="0.3">
      <c r="B642" s="10"/>
      <c r="E642" s="14"/>
    </row>
    <row r="643" spans="2:5" x14ac:dyDescent="0.3">
      <c r="B643" s="10"/>
      <c r="E643" s="14"/>
    </row>
    <row r="644" spans="2:5" x14ac:dyDescent="0.3">
      <c r="B644" s="10"/>
      <c r="E644" s="14"/>
    </row>
    <row r="645" spans="2:5" x14ac:dyDescent="0.3">
      <c r="B645" s="10"/>
      <c r="E645" s="14"/>
    </row>
    <row r="646" spans="2:5" x14ac:dyDescent="0.3">
      <c r="B646" s="10"/>
      <c r="E646" s="14"/>
    </row>
    <row r="647" spans="2:5" x14ac:dyDescent="0.3">
      <c r="B647" s="10"/>
      <c r="E647" s="14"/>
    </row>
    <row r="648" spans="2:5" x14ac:dyDescent="0.3">
      <c r="B648" s="10"/>
      <c r="E648" s="14"/>
    </row>
    <row r="649" spans="2:5" x14ac:dyDescent="0.3">
      <c r="B649" s="10"/>
      <c r="E649" s="14"/>
    </row>
    <row r="650" spans="2:5" x14ac:dyDescent="0.3">
      <c r="B650" s="10"/>
      <c r="E650" s="14"/>
    </row>
    <row r="651" spans="2:5" x14ac:dyDescent="0.3">
      <c r="B651" s="10"/>
      <c r="E651" s="14"/>
    </row>
    <row r="652" spans="2:5" x14ac:dyDescent="0.3">
      <c r="B652" s="10"/>
      <c r="E652" s="14"/>
    </row>
    <row r="653" spans="2:5" x14ac:dyDescent="0.3">
      <c r="B653" s="10"/>
      <c r="E653" s="14"/>
    </row>
    <row r="654" spans="2:5" x14ac:dyDescent="0.3">
      <c r="B654" s="10"/>
      <c r="E654" s="14"/>
    </row>
    <row r="655" spans="2:5" x14ac:dyDescent="0.3">
      <c r="B655" s="10"/>
      <c r="E655" s="14"/>
    </row>
    <row r="656" spans="2:5" x14ac:dyDescent="0.3">
      <c r="B656" s="10"/>
      <c r="E656" s="14"/>
    </row>
    <row r="657" spans="2:5" x14ac:dyDescent="0.3">
      <c r="B657" s="10"/>
      <c r="E657" s="14"/>
    </row>
    <row r="658" spans="2:5" x14ac:dyDescent="0.3">
      <c r="B658" s="10"/>
      <c r="E658" s="14"/>
    </row>
    <row r="659" spans="2:5" x14ac:dyDescent="0.3">
      <c r="B659" s="10"/>
      <c r="E659" s="14"/>
    </row>
    <row r="660" spans="2:5" x14ac:dyDescent="0.3">
      <c r="B660" s="10"/>
      <c r="E660" s="14"/>
    </row>
    <row r="661" spans="2:5" x14ac:dyDescent="0.3">
      <c r="B661" s="10"/>
      <c r="E661" s="14"/>
    </row>
    <row r="662" spans="2:5" x14ac:dyDescent="0.3">
      <c r="B662" s="10"/>
      <c r="E662" s="14"/>
    </row>
    <row r="663" spans="2:5" x14ac:dyDescent="0.3">
      <c r="B663" s="10"/>
      <c r="E663" s="14"/>
    </row>
    <row r="664" spans="2:5" x14ac:dyDescent="0.3">
      <c r="B664" s="10"/>
      <c r="E664" s="14"/>
    </row>
    <row r="665" spans="2:5" x14ac:dyDescent="0.3">
      <c r="B665" s="10"/>
      <c r="E665" s="14"/>
    </row>
    <row r="666" spans="2:5" x14ac:dyDescent="0.3">
      <c r="B666" s="10"/>
      <c r="E666" s="14"/>
    </row>
    <row r="667" spans="2:5" x14ac:dyDescent="0.3">
      <c r="B667" s="10"/>
      <c r="E667" s="14"/>
    </row>
    <row r="668" spans="2:5" x14ac:dyDescent="0.3">
      <c r="B668" s="10"/>
      <c r="E668" s="14"/>
    </row>
    <row r="669" spans="2:5" x14ac:dyDescent="0.3">
      <c r="B669" s="10"/>
      <c r="E669" s="14"/>
    </row>
    <row r="670" spans="2:5" x14ac:dyDescent="0.3">
      <c r="B670" s="10"/>
      <c r="E670" s="14"/>
    </row>
    <row r="671" spans="2:5" x14ac:dyDescent="0.3">
      <c r="B671" s="10"/>
      <c r="E671" s="14"/>
    </row>
    <row r="672" spans="2:5" x14ac:dyDescent="0.3">
      <c r="B672" s="10"/>
      <c r="E672" s="14"/>
    </row>
    <row r="673" spans="2:5" x14ac:dyDescent="0.3">
      <c r="B673" s="10"/>
      <c r="E673" s="14"/>
    </row>
    <row r="674" spans="2:5" x14ac:dyDescent="0.3">
      <c r="B674" s="10"/>
      <c r="E674" s="14"/>
    </row>
    <row r="675" spans="2:5" x14ac:dyDescent="0.3">
      <c r="B675" s="10"/>
      <c r="E675" s="14"/>
    </row>
    <row r="676" spans="2:5" x14ac:dyDescent="0.3">
      <c r="B676" s="10"/>
      <c r="E676" s="14"/>
    </row>
    <row r="677" spans="2:5" x14ac:dyDescent="0.3">
      <c r="B677" s="10"/>
      <c r="E677" s="14"/>
    </row>
    <row r="678" spans="2:5" x14ac:dyDescent="0.3">
      <c r="B678" s="10"/>
      <c r="E678" s="14"/>
    </row>
    <row r="679" spans="2:5" x14ac:dyDescent="0.3">
      <c r="B679" s="10"/>
      <c r="E679" s="14"/>
    </row>
    <row r="680" spans="2:5" x14ac:dyDescent="0.3">
      <c r="B680" s="10"/>
      <c r="E680" s="14"/>
    </row>
    <row r="681" spans="2:5" x14ac:dyDescent="0.3">
      <c r="B681" s="10"/>
      <c r="E681" s="14"/>
    </row>
    <row r="682" spans="2:5" x14ac:dyDescent="0.3">
      <c r="B682" s="10"/>
      <c r="E682" s="14"/>
    </row>
    <row r="683" spans="2:5" x14ac:dyDescent="0.3">
      <c r="B683" s="10"/>
      <c r="E683" s="14"/>
    </row>
    <row r="684" spans="2:5" x14ac:dyDescent="0.3">
      <c r="B684" s="10"/>
      <c r="E684" s="14"/>
    </row>
    <row r="685" spans="2:5" x14ac:dyDescent="0.3">
      <c r="B685" s="10"/>
      <c r="E685" s="14"/>
    </row>
    <row r="686" spans="2:5" x14ac:dyDescent="0.3">
      <c r="B686" s="10"/>
      <c r="E686" s="14"/>
    </row>
    <row r="687" spans="2:5" x14ac:dyDescent="0.3">
      <c r="B687" s="10"/>
      <c r="E687" s="14"/>
    </row>
    <row r="688" spans="2:5" x14ac:dyDescent="0.3">
      <c r="B688" s="10"/>
      <c r="E688" s="14"/>
    </row>
    <row r="689" spans="2:5" x14ac:dyDescent="0.3">
      <c r="B689" s="10"/>
      <c r="E689" s="14"/>
    </row>
    <row r="690" spans="2:5" x14ac:dyDescent="0.3">
      <c r="B690" s="10"/>
      <c r="E690" s="14"/>
    </row>
    <row r="691" spans="2:5" x14ac:dyDescent="0.3">
      <c r="B691" s="10"/>
      <c r="E691" s="14"/>
    </row>
    <row r="692" spans="2:5" x14ac:dyDescent="0.3">
      <c r="B692" s="10"/>
      <c r="E692" s="14"/>
    </row>
    <row r="693" spans="2:5" x14ac:dyDescent="0.3">
      <c r="B693" s="10"/>
      <c r="E693" s="14"/>
    </row>
    <row r="694" spans="2:5" x14ac:dyDescent="0.3">
      <c r="B694" s="10"/>
      <c r="E694" s="14"/>
    </row>
    <row r="695" spans="2:5" x14ac:dyDescent="0.3">
      <c r="B695" s="10"/>
      <c r="E695" s="14"/>
    </row>
    <row r="696" spans="2:5" x14ac:dyDescent="0.3">
      <c r="B696" s="10"/>
      <c r="E696" s="14"/>
    </row>
    <row r="697" spans="2:5" x14ac:dyDescent="0.3">
      <c r="B697" s="10"/>
      <c r="E697" s="14"/>
    </row>
    <row r="698" spans="2:5" x14ac:dyDescent="0.3">
      <c r="B698" s="10"/>
      <c r="E698" s="14"/>
    </row>
    <row r="699" spans="2:5" x14ac:dyDescent="0.3">
      <c r="B699" s="10"/>
      <c r="E699" s="14"/>
    </row>
    <row r="700" spans="2:5" x14ac:dyDescent="0.3">
      <c r="B700" s="10"/>
      <c r="E700" s="14"/>
    </row>
    <row r="701" spans="2:5" x14ac:dyDescent="0.3">
      <c r="B701" s="10"/>
      <c r="E701" s="14"/>
    </row>
    <row r="702" spans="2:5" x14ac:dyDescent="0.3">
      <c r="B702" s="10"/>
      <c r="E702" s="14"/>
    </row>
    <row r="703" spans="2:5" x14ac:dyDescent="0.3">
      <c r="B703" s="10"/>
      <c r="E703" s="14"/>
    </row>
    <row r="704" spans="2:5" x14ac:dyDescent="0.3">
      <c r="B704" s="10"/>
      <c r="E704" s="14"/>
    </row>
    <row r="705" spans="2:5" x14ac:dyDescent="0.3">
      <c r="B705" s="10"/>
      <c r="E705" s="14"/>
    </row>
    <row r="706" spans="2:5" x14ac:dyDescent="0.3">
      <c r="B706" s="10"/>
      <c r="E706" s="14"/>
    </row>
    <row r="707" spans="2:5" x14ac:dyDescent="0.3">
      <c r="B707" s="10"/>
      <c r="E707" s="14"/>
    </row>
    <row r="708" spans="2:5" x14ac:dyDescent="0.3">
      <c r="B708" s="10"/>
      <c r="E708" s="14"/>
    </row>
    <row r="709" spans="2:5" x14ac:dyDescent="0.3">
      <c r="B709" s="10"/>
      <c r="E709" s="14"/>
    </row>
    <row r="710" spans="2:5" x14ac:dyDescent="0.3">
      <c r="B710" s="10"/>
      <c r="E710" s="14"/>
    </row>
    <row r="711" spans="2:5" x14ac:dyDescent="0.3">
      <c r="B711" s="10"/>
      <c r="E711" s="14"/>
    </row>
    <row r="712" spans="2:5" x14ac:dyDescent="0.3">
      <c r="B712" s="10"/>
      <c r="E712" s="14"/>
    </row>
    <row r="713" spans="2:5" x14ac:dyDescent="0.3">
      <c r="B713" s="10"/>
      <c r="E713" s="14"/>
    </row>
    <row r="714" spans="2:5" x14ac:dyDescent="0.3">
      <c r="B714" s="10"/>
      <c r="E714" s="14"/>
    </row>
    <row r="715" spans="2:5" x14ac:dyDescent="0.3">
      <c r="B715" s="10"/>
      <c r="E715" s="14"/>
    </row>
    <row r="716" spans="2:5" x14ac:dyDescent="0.3">
      <c r="B716" s="10"/>
      <c r="E716" s="14"/>
    </row>
    <row r="717" spans="2:5" x14ac:dyDescent="0.3">
      <c r="B717" s="10"/>
      <c r="E717" s="14"/>
    </row>
    <row r="718" spans="2:5" x14ac:dyDescent="0.3">
      <c r="B718" s="10"/>
      <c r="E718" s="14"/>
    </row>
    <row r="719" spans="2:5" x14ac:dyDescent="0.3">
      <c r="B719" s="10"/>
      <c r="E719" s="14"/>
    </row>
    <row r="720" spans="2:5" x14ac:dyDescent="0.3">
      <c r="B720" s="10"/>
      <c r="E720" s="14"/>
    </row>
    <row r="721" spans="2:5" x14ac:dyDescent="0.3">
      <c r="B721" s="10"/>
      <c r="E721" s="14"/>
    </row>
    <row r="722" spans="2:5" x14ac:dyDescent="0.3">
      <c r="B722" s="10"/>
      <c r="E722" s="14"/>
    </row>
    <row r="723" spans="2:5" x14ac:dyDescent="0.3">
      <c r="B723" s="10"/>
      <c r="E723" s="14"/>
    </row>
    <row r="724" spans="2:5" x14ac:dyDescent="0.3">
      <c r="B724" s="10"/>
      <c r="E724" s="14"/>
    </row>
    <row r="725" spans="2:5" x14ac:dyDescent="0.3">
      <c r="B725" s="10"/>
      <c r="E725" s="14"/>
    </row>
    <row r="726" spans="2:5" x14ac:dyDescent="0.3">
      <c r="B726" s="10"/>
      <c r="E726" s="14"/>
    </row>
    <row r="727" spans="2:5" x14ac:dyDescent="0.3">
      <c r="B727" s="10"/>
      <c r="E727" s="14"/>
    </row>
    <row r="728" spans="2:5" x14ac:dyDescent="0.3">
      <c r="B728" s="10"/>
      <c r="E728" s="14"/>
    </row>
    <row r="729" spans="2:5" x14ac:dyDescent="0.3">
      <c r="B729" s="10"/>
      <c r="E729" s="14"/>
    </row>
    <row r="730" spans="2:5" x14ac:dyDescent="0.3">
      <c r="B730" s="10"/>
      <c r="E730" s="14"/>
    </row>
    <row r="731" spans="2:5" x14ac:dyDescent="0.3">
      <c r="B731" s="10"/>
      <c r="E731" s="14"/>
    </row>
    <row r="732" spans="2:5" x14ac:dyDescent="0.3">
      <c r="B732" s="10"/>
      <c r="E732" s="14"/>
    </row>
    <row r="733" spans="2:5" x14ac:dyDescent="0.3">
      <c r="B733" s="10"/>
      <c r="E733" s="14"/>
    </row>
    <row r="734" spans="2:5" x14ac:dyDescent="0.3">
      <c r="B734" s="10"/>
      <c r="E734" s="14"/>
    </row>
    <row r="735" spans="2:5" x14ac:dyDescent="0.3">
      <c r="B735" s="10"/>
      <c r="E735" s="14"/>
    </row>
    <row r="736" spans="2:5" x14ac:dyDescent="0.3">
      <c r="B736" s="10"/>
      <c r="E736" s="14"/>
    </row>
    <row r="737" spans="2:5" x14ac:dyDescent="0.3">
      <c r="B737" s="10"/>
      <c r="E737" s="14"/>
    </row>
    <row r="738" spans="2:5" x14ac:dyDescent="0.3">
      <c r="B738" s="10"/>
      <c r="E738" s="14"/>
    </row>
    <row r="739" spans="2:5" x14ac:dyDescent="0.3">
      <c r="B739" s="10"/>
      <c r="E739" s="14"/>
    </row>
    <row r="740" spans="2:5" x14ac:dyDescent="0.3">
      <c r="B740" s="10"/>
      <c r="E740" s="14"/>
    </row>
    <row r="741" spans="2:5" x14ac:dyDescent="0.3">
      <c r="B741" s="10"/>
      <c r="E741" s="14"/>
    </row>
    <row r="742" spans="2:5" x14ac:dyDescent="0.3">
      <c r="B742" s="10"/>
      <c r="E742" s="14"/>
    </row>
    <row r="743" spans="2:5" x14ac:dyDescent="0.3">
      <c r="B743" s="10"/>
      <c r="E743" s="14"/>
    </row>
    <row r="744" spans="2:5" x14ac:dyDescent="0.3">
      <c r="B744" s="10"/>
      <c r="E744" s="14"/>
    </row>
    <row r="745" spans="2:5" x14ac:dyDescent="0.3">
      <c r="B745" s="10"/>
      <c r="E745" s="14"/>
    </row>
    <row r="746" spans="2:5" x14ac:dyDescent="0.3">
      <c r="B746" s="10"/>
      <c r="E746" s="14"/>
    </row>
    <row r="747" spans="2:5" x14ac:dyDescent="0.3">
      <c r="B747" s="10"/>
      <c r="E747" s="14"/>
    </row>
    <row r="748" spans="2:5" x14ac:dyDescent="0.3">
      <c r="B748" s="10"/>
      <c r="E748" s="14"/>
    </row>
    <row r="749" spans="2:5" x14ac:dyDescent="0.3">
      <c r="B749" s="10"/>
      <c r="E749" s="14"/>
    </row>
    <row r="750" spans="2:5" x14ac:dyDescent="0.3">
      <c r="B750" s="10"/>
      <c r="E750" s="14"/>
    </row>
    <row r="751" spans="2:5" x14ac:dyDescent="0.3">
      <c r="B751" s="10"/>
      <c r="E751" s="14"/>
    </row>
    <row r="752" spans="2:5" x14ac:dyDescent="0.3">
      <c r="B752" s="10"/>
      <c r="E752" s="14"/>
    </row>
    <row r="753" spans="2:5" x14ac:dyDescent="0.3">
      <c r="B753" s="10"/>
      <c r="E753" s="14"/>
    </row>
    <row r="754" spans="2:5" x14ac:dyDescent="0.3">
      <c r="B754" s="10"/>
      <c r="E754" s="14"/>
    </row>
    <row r="755" spans="2:5" x14ac:dyDescent="0.3">
      <c r="B755" s="10"/>
      <c r="E755" s="14"/>
    </row>
    <row r="756" spans="2:5" x14ac:dyDescent="0.3">
      <c r="B756" s="10"/>
      <c r="E756" s="14"/>
    </row>
    <row r="757" spans="2:5" x14ac:dyDescent="0.3">
      <c r="B757" s="10"/>
      <c r="E757" s="14"/>
    </row>
    <row r="758" spans="2:5" x14ac:dyDescent="0.3">
      <c r="B758" s="10"/>
      <c r="E758" s="14"/>
    </row>
    <row r="759" spans="2:5" x14ac:dyDescent="0.3">
      <c r="B759" s="10"/>
      <c r="E759" s="14"/>
    </row>
    <row r="760" spans="2:5" x14ac:dyDescent="0.3">
      <c r="B760" s="10"/>
      <c r="E760" s="14"/>
    </row>
    <row r="761" spans="2:5" x14ac:dyDescent="0.3">
      <c r="B761" s="10"/>
      <c r="E761" s="14"/>
    </row>
    <row r="762" spans="2:5" x14ac:dyDescent="0.3">
      <c r="B762" s="10"/>
      <c r="E762" s="14"/>
    </row>
    <row r="763" spans="2:5" x14ac:dyDescent="0.3">
      <c r="B763" s="10"/>
      <c r="E763" s="14"/>
    </row>
    <row r="764" spans="2:5" x14ac:dyDescent="0.3">
      <c r="B764" s="10"/>
      <c r="E764" s="14"/>
    </row>
    <row r="765" spans="2:5" x14ac:dyDescent="0.3">
      <c r="B765" s="10"/>
      <c r="E765" s="14"/>
    </row>
    <row r="766" spans="2:5" x14ac:dyDescent="0.3">
      <c r="B766" s="10"/>
      <c r="E766" s="14"/>
    </row>
    <row r="767" spans="2:5" x14ac:dyDescent="0.3">
      <c r="B767" s="10"/>
      <c r="E767" s="14"/>
    </row>
    <row r="768" spans="2:5" x14ac:dyDescent="0.3">
      <c r="B768" s="10"/>
      <c r="E768" s="14"/>
    </row>
    <row r="769" spans="2:5" x14ac:dyDescent="0.3">
      <c r="B769" s="10"/>
      <c r="E769" s="14"/>
    </row>
    <row r="770" spans="2:5" x14ac:dyDescent="0.3">
      <c r="B770" s="10"/>
      <c r="E770" s="14"/>
    </row>
    <row r="771" spans="2:5" x14ac:dyDescent="0.3">
      <c r="B771" s="10"/>
      <c r="E771" s="14"/>
    </row>
    <row r="772" spans="2:5" x14ac:dyDescent="0.3">
      <c r="B772" s="10"/>
      <c r="E772" s="14"/>
    </row>
    <row r="773" spans="2:5" x14ac:dyDescent="0.3">
      <c r="B773" s="10"/>
      <c r="E773" s="14"/>
    </row>
    <row r="774" spans="2:5" x14ac:dyDescent="0.3">
      <c r="B774" s="10"/>
      <c r="E774" s="14"/>
    </row>
    <row r="775" spans="2:5" x14ac:dyDescent="0.3">
      <c r="B775" s="10"/>
      <c r="E775" s="14"/>
    </row>
    <row r="776" spans="2:5" x14ac:dyDescent="0.3">
      <c r="B776" s="10"/>
      <c r="E776" s="14"/>
    </row>
    <row r="777" spans="2:5" x14ac:dyDescent="0.3">
      <c r="B777" s="10"/>
      <c r="E777" s="14"/>
    </row>
    <row r="778" spans="2:5" x14ac:dyDescent="0.3">
      <c r="B778" s="10"/>
      <c r="E778" s="14"/>
    </row>
    <row r="779" spans="2:5" x14ac:dyDescent="0.3">
      <c r="B779" s="10"/>
      <c r="E779" s="14"/>
    </row>
    <row r="780" spans="2:5" x14ac:dyDescent="0.3">
      <c r="B780" s="10"/>
      <c r="E780" s="14"/>
    </row>
    <row r="781" spans="2:5" x14ac:dyDescent="0.3">
      <c r="B781" s="10"/>
      <c r="E781" s="14"/>
    </row>
    <row r="782" spans="2:5" x14ac:dyDescent="0.3">
      <c r="B782" s="10"/>
      <c r="E782" s="14"/>
    </row>
    <row r="783" spans="2:5" x14ac:dyDescent="0.3">
      <c r="B783" s="10"/>
      <c r="E783" s="14"/>
    </row>
    <row r="784" spans="2:5" x14ac:dyDescent="0.3">
      <c r="B784" s="10"/>
      <c r="E784" s="14"/>
    </row>
    <row r="785" spans="2:5" x14ac:dyDescent="0.3">
      <c r="B785" s="10"/>
      <c r="E785" s="14"/>
    </row>
    <row r="786" spans="2:5" x14ac:dyDescent="0.3">
      <c r="B786" s="10"/>
      <c r="E786" s="14"/>
    </row>
    <row r="787" spans="2:5" x14ac:dyDescent="0.3">
      <c r="B787" s="10"/>
      <c r="E787" s="14"/>
    </row>
    <row r="788" spans="2:5" x14ac:dyDescent="0.3">
      <c r="B788" s="10"/>
      <c r="E788" s="14"/>
    </row>
    <row r="789" spans="2:5" x14ac:dyDescent="0.3">
      <c r="B789" s="10"/>
      <c r="E789" s="14"/>
    </row>
    <row r="790" spans="2:5" x14ac:dyDescent="0.3">
      <c r="B790" s="10"/>
      <c r="E790" s="14"/>
    </row>
    <row r="791" spans="2:5" x14ac:dyDescent="0.3">
      <c r="B791" s="10"/>
      <c r="E791" s="14"/>
    </row>
    <row r="792" spans="2:5" x14ac:dyDescent="0.3">
      <c r="B792" s="10"/>
      <c r="E792" s="14"/>
    </row>
    <row r="793" spans="2:5" x14ac:dyDescent="0.3">
      <c r="B793" s="10"/>
      <c r="E793" s="14"/>
    </row>
    <row r="794" spans="2:5" x14ac:dyDescent="0.3">
      <c r="B794" s="10"/>
      <c r="E794" s="14"/>
    </row>
    <row r="795" spans="2:5" x14ac:dyDescent="0.3">
      <c r="B795" s="10"/>
      <c r="E795" s="14"/>
    </row>
    <row r="796" spans="2:5" x14ac:dyDescent="0.3">
      <c r="B796" s="10"/>
      <c r="E796" s="14"/>
    </row>
    <row r="797" spans="2:5" x14ac:dyDescent="0.3">
      <c r="B797" s="10"/>
      <c r="E797" s="14"/>
    </row>
    <row r="798" spans="2:5" x14ac:dyDescent="0.3">
      <c r="B798" s="10"/>
      <c r="E798" s="14"/>
    </row>
    <row r="799" spans="2:5" x14ac:dyDescent="0.3">
      <c r="B799" s="10"/>
      <c r="E799" s="14"/>
    </row>
    <row r="800" spans="2:5" x14ac:dyDescent="0.3">
      <c r="B800" s="10"/>
      <c r="E800" s="14"/>
    </row>
    <row r="801" spans="2:5" x14ac:dyDescent="0.3">
      <c r="B801" s="10"/>
      <c r="E801" s="14"/>
    </row>
    <row r="802" spans="2:5" x14ac:dyDescent="0.3">
      <c r="B802" s="10"/>
      <c r="E802" s="14"/>
    </row>
    <row r="803" spans="2:5" x14ac:dyDescent="0.3">
      <c r="B803" s="10"/>
      <c r="E803" s="14"/>
    </row>
    <row r="804" spans="2:5" x14ac:dyDescent="0.3">
      <c r="B804" s="10"/>
      <c r="E804" s="14"/>
    </row>
    <row r="805" spans="2:5" x14ac:dyDescent="0.3">
      <c r="B805" s="10"/>
      <c r="E805" s="14"/>
    </row>
    <row r="806" spans="2:5" x14ac:dyDescent="0.3">
      <c r="B806" s="10"/>
      <c r="E806" s="14"/>
    </row>
    <row r="807" spans="2:5" x14ac:dyDescent="0.3">
      <c r="B807" s="10"/>
      <c r="E807" s="14"/>
    </row>
    <row r="808" spans="2:5" x14ac:dyDescent="0.3">
      <c r="B808" s="10"/>
      <c r="E808" s="14"/>
    </row>
    <row r="809" spans="2:5" x14ac:dyDescent="0.3">
      <c r="B809" s="10"/>
      <c r="E809" s="14"/>
    </row>
    <row r="810" spans="2:5" x14ac:dyDescent="0.3">
      <c r="B810" s="10"/>
      <c r="E810" s="14"/>
    </row>
    <row r="811" spans="2:5" x14ac:dyDescent="0.3">
      <c r="B811" s="10"/>
      <c r="E811" s="14"/>
    </row>
    <row r="812" spans="2:5" x14ac:dyDescent="0.3">
      <c r="B812" s="10"/>
      <c r="E812" s="14"/>
    </row>
    <row r="813" spans="2:5" x14ac:dyDescent="0.3">
      <c r="B813" s="10"/>
      <c r="E813" s="14"/>
    </row>
    <row r="814" spans="2:5" x14ac:dyDescent="0.3">
      <c r="B814" s="10"/>
      <c r="E814" s="14"/>
    </row>
    <row r="815" spans="2:5" x14ac:dyDescent="0.3">
      <c r="B815" s="10"/>
      <c r="E815" s="14"/>
    </row>
    <row r="816" spans="2:5" x14ac:dyDescent="0.3">
      <c r="B816" s="10"/>
      <c r="E816" s="14"/>
    </row>
    <row r="817" spans="2:5" x14ac:dyDescent="0.3">
      <c r="B817" s="10"/>
      <c r="E817" s="14"/>
    </row>
    <row r="818" spans="2:5" x14ac:dyDescent="0.3">
      <c r="B818" s="10"/>
      <c r="E818" s="14"/>
    </row>
    <row r="819" spans="2:5" x14ac:dyDescent="0.3">
      <c r="B819" s="10"/>
      <c r="E819" s="14"/>
    </row>
    <row r="820" spans="2:5" x14ac:dyDescent="0.3">
      <c r="B820" s="10"/>
      <c r="E820" s="14"/>
    </row>
    <row r="821" spans="2:5" x14ac:dyDescent="0.3">
      <c r="B821" s="10"/>
      <c r="E821" s="14"/>
    </row>
    <row r="822" spans="2:5" x14ac:dyDescent="0.3">
      <c r="B822" s="10"/>
      <c r="E822" s="14"/>
    </row>
    <row r="823" spans="2:5" x14ac:dyDescent="0.3">
      <c r="B823" s="10"/>
      <c r="E823" s="14"/>
    </row>
    <row r="824" spans="2:5" x14ac:dyDescent="0.3">
      <c r="B824" s="10"/>
      <c r="E824" s="14"/>
    </row>
    <row r="825" spans="2:5" x14ac:dyDescent="0.3">
      <c r="B825" s="10"/>
      <c r="E825" s="14"/>
    </row>
    <row r="826" spans="2:5" x14ac:dyDescent="0.3">
      <c r="B826" s="10"/>
      <c r="E826" s="14"/>
    </row>
    <row r="827" spans="2:5" x14ac:dyDescent="0.3">
      <c r="B827" s="10"/>
      <c r="E827" s="14"/>
    </row>
    <row r="828" spans="2:5" x14ac:dyDescent="0.3">
      <c r="B828" s="10"/>
      <c r="E828" s="14"/>
    </row>
    <row r="829" spans="2:5" x14ac:dyDescent="0.3">
      <c r="B829" s="10"/>
      <c r="E829" s="14"/>
    </row>
    <row r="830" spans="2:5" x14ac:dyDescent="0.3">
      <c r="B830" s="10"/>
      <c r="E830" s="14"/>
    </row>
    <row r="831" spans="2:5" x14ac:dyDescent="0.3">
      <c r="B831" s="10"/>
      <c r="E831" s="14"/>
    </row>
    <row r="832" spans="2:5" x14ac:dyDescent="0.3">
      <c r="B832" s="10"/>
      <c r="E832" s="14"/>
    </row>
    <row r="833" spans="2:5" x14ac:dyDescent="0.3">
      <c r="B833" s="10"/>
      <c r="E833" s="14"/>
    </row>
    <row r="834" spans="2:5" x14ac:dyDescent="0.3">
      <c r="B834" s="10"/>
      <c r="E834" s="14"/>
    </row>
    <row r="835" spans="2:5" x14ac:dyDescent="0.3">
      <c r="B835" s="10"/>
      <c r="E835" s="14"/>
    </row>
    <row r="836" spans="2:5" x14ac:dyDescent="0.3">
      <c r="B836" s="10"/>
      <c r="E836" s="14"/>
    </row>
    <row r="837" spans="2:5" x14ac:dyDescent="0.3">
      <c r="B837" s="10"/>
      <c r="E837" s="14"/>
    </row>
    <row r="838" spans="2:5" x14ac:dyDescent="0.3">
      <c r="B838" s="10"/>
      <c r="E838" s="14"/>
    </row>
    <row r="839" spans="2:5" x14ac:dyDescent="0.3">
      <c r="B839" s="10"/>
      <c r="E839" s="14"/>
    </row>
    <row r="840" spans="2:5" x14ac:dyDescent="0.3">
      <c r="B840" s="10"/>
      <c r="E840" s="14"/>
    </row>
    <row r="841" spans="2:5" x14ac:dyDescent="0.3">
      <c r="B841" s="10"/>
      <c r="E841" s="14"/>
    </row>
    <row r="842" spans="2:5" x14ac:dyDescent="0.3">
      <c r="B842" s="10"/>
      <c r="E842" s="14"/>
    </row>
    <row r="843" spans="2:5" x14ac:dyDescent="0.3">
      <c r="B843" s="10"/>
      <c r="E843" s="14"/>
    </row>
    <row r="844" spans="2:5" x14ac:dyDescent="0.3">
      <c r="B844" s="10"/>
      <c r="E844" s="14"/>
    </row>
    <row r="845" spans="2:5" x14ac:dyDescent="0.3">
      <c r="B845" s="10"/>
      <c r="E845" s="14"/>
    </row>
    <row r="846" spans="2:5" x14ac:dyDescent="0.3">
      <c r="B846" s="10"/>
      <c r="E846" s="14"/>
    </row>
    <row r="847" spans="2:5" x14ac:dyDescent="0.3">
      <c r="B847" s="10"/>
      <c r="E847" s="14"/>
    </row>
    <row r="848" spans="2:5" x14ac:dyDescent="0.3">
      <c r="B848" s="10"/>
      <c r="E848" s="14"/>
    </row>
    <row r="849" spans="2:5" x14ac:dyDescent="0.3">
      <c r="B849" s="10"/>
      <c r="E849" s="14"/>
    </row>
    <row r="850" spans="2:5" x14ac:dyDescent="0.3">
      <c r="B850" s="10"/>
      <c r="E850" s="14"/>
    </row>
    <row r="851" spans="2:5" x14ac:dyDescent="0.3">
      <c r="B851" s="10"/>
      <c r="E851" s="14"/>
    </row>
    <row r="852" spans="2:5" x14ac:dyDescent="0.3">
      <c r="B852" s="10"/>
      <c r="E852" s="14"/>
    </row>
    <row r="853" spans="2:5" x14ac:dyDescent="0.3">
      <c r="B853" s="10"/>
      <c r="E853" s="14"/>
    </row>
    <row r="854" spans="2:5" x14ac:dyDescent="0.3">
      <c r="B854" s="10"/>
      <c r="E854" s="14"/>
    </row>
    <row r="855" spans="2:5" x14ac:dyDescent="0.3">
      <c r="B855" s="10"/>
      <c r="E855" s="14"/>
    </row>
    <row r="856" spans="2:5" x14ac:dyDescent="0.3">
      <c r="B856" s="10"/>
      <c r="E856" s="14"/>
    </row>
    <row r="857" spans="2:5" x14ac:dyDescent="0.3">
      <c r="B857" s="10"/>
      <c r="E857" s="14"/>
    </row>
    <row r="858" spans="2:5" x14ac:dyDescent="0.3">
      <c r="B858" s="10"/>
      <c r="E858" s="14"/>
    </row>
    <row r="859" spans="2:5" x14ac:dyDescent="0.3">
      <c r="B859" s="10"/>
      <c r="E859" s="14"/>
    </row>
    <row r="860" spans="2:5" x14ac:dyDescent="0.3">
      <c r="B860" s="10"/>
      <c r="E860" s="14"/>
    </row>
    <row r="861" spans="2:5" x14ac:dyDescent="0.3">
      <c r="B861" s="10"/>
      <c r="E861" s="14"/>
    </row>
    <row r="862" spans="2:5" x14ac:dyDescent="0.3">
      <c r="B862" s="10"/>
      <c r="E862" s="14"/>
    </row>
    <row r="863" spans="2:5" x14ac:dyDescent="0.3">
      <c r="B863" s="10"/>
      <c r="E863" s="14"/>
    </row>
    <row r="864" spans="2:5" x14ac:dyDescent="0.3">
      <c r="B864" s="10"/>
      <c r="E864" s="14"/>
    </row>
    <row r="865" spans="2:5" x14ac:dyDescent="0.3">
      <c r="B865" s="10"/>
      <c r="E865" s="14"/>
    </row>
    <row r="866" spans="2:5" x14ac:dyDescent="0.3">
      <c r="B866" s="10"/>
      <c r="E866" s="14"/>
    </row>
    <row r="867" spans="2:5" x14ac:dyDescent="0.3">
      <c r="B867" s="10"/>
      <c r="E867" s="14"/>
    </row>
    <row r="868" spans="2:5" x14ac:dyDescent="0.3">
      <c r="B868" s="10"/>
      <c r="E868" s="14"/>
    </row>
    <row r="869" spans="2:5" x14ac:dyDescent="0.3">
      <c r="B869" s="10"/>
      <c r="E869" s="14"/>
    </row>
    <row r="870" spans="2:5" x14ac:dyDescent="0.3">
      <c r="B870" s="10"/>
      <c r="E870" s="14"/>
    </row>
    <row r="871" spans="2:5" x14ac:dyDescent="0.3">
      <c r="B871" s="10"/>
      <c r="E871" s="14"/>
    </row>
    <row r="872" spans="2:5" x14ac:dyDescent="0.3">
      <c r="B872" s="10"/>
      <c r="E872" s="14"/>
    </row>
    <row r="873" spans="2:5" x14ac:dyDescent="0.3">
      <c r="B873" s="10"/>
      <c r="E873" s="14"/>
    </row>
    <row r="874" spans="2:5" x14ac:dyDescent="0.3">
      <c r="B874" s="10"/>
      <c r="E874" s="14"/>
    </row>
    <row r="875" spans="2:5" x14ac:dyDescent="0.3">
      <c r="B875" s="10"/>
      <c r="E875" s="14"/>
    </row>
    <row r="876" spans="2:5" x14ac:dyDescent="0.3">
      <c r="B876" s="10"/>
      <c r="E876" s="14"/>
    </row>
    <row r="877" spans="2:5" x14ac:dyDescent="0.3">
      <c r="B877" s="10"/>
      <c r="E877" s="14"/>
    </row>
    <row r="878" spans="2:5" x14ac:dyDescent="0.3">
      <c r="B878" s="10"/>
      <c r="E878" s="14"/>
    </row>
    <row r="879" spans="2:5" x14ac:dyDescent="0.3">
      <c r="B879" s="10"/>
      <c r="E879" s="14"/>
    </row>
    <row r="880" spans="2:5" x14ac:dyDescent="0.3">
      <c r="B880" s="10"/>
      <c r="E880" s="14"/>
    </row>
    <row r="881" spans="2:5" x14ac:dyDescent="0.3">
      <c r="B881" s="10"/>
      <c r="E881" s="14"/>
    </row>
    <row r="882" spans="2:5" x14ac:dyDescent="0.3">
      <c r="B882" s="10"/>
      <c r="E882" s="14"/>
    </row>
    <row r="883" spans="2:5" x14ac:dyDescent="0.3">
      <c r="B883" s="10"/>
      <c r="E883" s="14"/>
    </row>
    <row r="884" spans="2:5" x14ac:dyDescent="0.3">
      <c r="B884" s="10"/>
      <c r="E884" s="14"/>
    </row>
    <row r="885" spans="2:5" x14ac:dyDescent="0.3">
      <c r="B885" s="10"/>
      <c r="E885" s="14"/>
    </row>
    <row r="886" spans="2:5" x14ac:dyDescent="0.3">
      <c r="B886" s="10"/>
      <c r="E886" s="14"/>
    </row>
    <row r="887" spans="2:5" x14ac:dyDescent="0.3">
      <c r="B887" s="10"/>
      <c r="E887" s="14"/>
    </row>
    <row r="888" spans="2:5" x14ac:dyDescent="0.3">
      <c r="B888" s="10"/>
      <c r="E888" s="14"/>
    </row>
    <row r="889" spans="2:5" x14ac:dyDescent="0.3">
      <c r="B889" s="10"/>
      <c r="E889" s="14"/>
    </row>
    <row r="890" spans="2:5" x14ac:dyDescent="0.3">
      <c r="B890" s="10"/>
      <c r="E890" s="14"/>
    </row>
    <row r="891" spans="2:5" x14ac:dyDescent="0.3">
      <c r="B891" s="10"/>
      <c r="E891" s="14"/>
    </row>
    <row r="892" spans="2:5" x14ac:dyDescent="0.3">
      <c r="B892" s="10"/>
      <c r="E892" s="14"/>
    </row>
    <row r="893" spans="2:5" x14ac:dyDescent="0.3">
      <c r="B893" s="10"/>
      <c r="E893" s="14"/>
    </row>
    <row r="894" spans="2:5" x14ac:dyDescent="0.3">
      <c r="B894" s="10"/>
      <c r="E894" s="14"/>
    </row>
    <row r="895" spans="2:5" x14ac:dyDescent="0.3">
      <c r="B895" s="10"/>
      <c r="E895" s="14"/>
    </row>
    <row r="896" spans="2:5" x14ac:dyDescent="0.3">
      <c r="B896" s="10"/>
      <c r="E896" s="14"/>
    </row>
    <row r="897" spans="2:5" x14ac:dyDescent="0.3">
      <c r="B897" s="10"/>
      <c r="E897" s="14"/>
    </row>
    <row r="898" spans="2:5" x14ac:dyDescent="0.3">
      <c r="B898" s="10"/>
      <c r="E898" s="14"/>
    </row>
    <row r="899" spans="2:5" x14ac:dyDescent="0.3">
      <c r="B899" s="10"/>
      <c r="E899" s="14"/>
    </row>
    <row r="900" spans="2:5" x14ac:dyDescent="0.3">
      <c r="B900" s="10"/>
      <c r="E900" s="14"/>
    </row>
    <row r="901" spans="2:5" x14ac:dyDescent="0.3">
      <c r="B901" s="10"/>
      <c r="E901" s="14"/>
    </row>
    <row r="902" spans="2:5" x14ac:dyDescent="0.3">
      <c r="B902" s="10"/>
      <c r="E902" s="14"/>
    </row>
    <row r="903" spans="2:5" x14ac:dyDescent="0.3">
      <c r="B903" s="10"/>
      <c r="E903" s="14"/>
    </row>
    <row r="904" spans="2:5" x14ac:dyDescent="0.3">
      <c r="B904" s="10"/>
      <c r="E904" s="14"/>
    </row>
    <row r="905" spans="2:5" x14ac:dyDescent="0.3">
      <c r="B905" s="10"/>
      <c r="E905" s="14"/>
    </row>
    <row r="906" spans="2:5" x14ac:dyDescent="0.3">
      <c r="B906" s="10"/>
      <c r="E906" s="14"/>
    </row>
    <row r="907" spans="2:5" x14ac:dyDescent="0.3">
      <c r="B907" s="10"/>
      <c r="E907" s="14"/>
    </row>
    <row r="908" spans="2:5" x14ac:dyDescent="0.3">
      <c r="B908" s="10"/>
      <c r="E908" s="14"/>
    </row>
    <row r="909" spans="2:5" x14ac:dyDescent="0.3">
      <c r="B909" s="10"/>
      <c r="E909" s="14"/>
    </row>
    <row r="910" spans="2:5" x14ac:dyDescent="0.3">
      <c r="B910" s="10"/>
      <c r="E910" s="14"/>
    </row>
    <row r="911" spans="2:5" x14ac:dyDescent="0.3">
      <c r="B911" s="10"/>
      <c r="E911" s="14"/>
    </row>
    <row r="912" spans="2:5" x14ac:dyDescent="0.3">
      <c r="B912" s="10"/>
      <c r="E912" s="14"/>
    </row>
    <row r="913" spans="2:5" x14ac:dyDescent="0.3">
      <c r="B913" s="10"/>
      <c r="E913" s="14"/>
    </row>
    <row r="914" spans="2:5" x14ac:dyDescent="0.3">
      <c r="B914" s="10"/>
      <c r="E914" s="14"/>
    </row>
    <row r="915" spans="2:5" x14ac:dyDescent="0.3">
      <c r="B915" s="10"/>
      <c r="E915" s="14"/>
    </row>
    <row r="916" spans="2:5" x14ac:dyDescent="0.3">
      <c r="B916" s="10"/>
      <c r="E916" s="14"/>
    </row>
    <row r="917" spans="2:5" x14ac:dyDescent="0.3">
      <c r="B917" s="10"/>
      <c r="E917" s="14"/>
    </row>
    <row r="918" spans="2:5" x14ac:dyDescent="0.3">
      <c r="B918" s="10"/>
      <c r="E918" s="14"/>
    </row>
    <row r="919" spans="2:5" x14ac:dyDescent="0.3">
      <c r="B919" s="10"/>
      <c r="E919" s="14"/>
    </row>
    <row r="920" spans="2:5" x14ac:dyDescent="0.3">
      <c r="B920" s="10"/>
      <c r="E920" s="14"/>
    </row>
    <row r="921" spans="2:5" x14ac:dyDescent="0.3">
      <c r="B921" s="10"/>
      <c r="E921" s="14"/>
    </row>
    <row r="922" spans="2:5" x14ac:dyDescent="0.3">
      <c r="B922" s="10"/>
      <c r="E922" s="14"/>
    </row>
    <row r="923" spans="2:5" x14ac:dyDescent="0.3">
      <c r="B923" s="10"/>
      <c r="E923" s="14"/>
    </row>
    <row r="924" spans="2:5" x14ac:dyDescent="0.3">
      <c r="B924" s="10"/>
      <c r="E924" s="14"/>
    </row>
    <row r="925" spans="2:5" x14ac:dyDescent="0.3">
      <c r="B925" s="10"/>
      <c r="E925" s="14"/>
    </row>
    <row r="926" spans="2:5" x14ac:dyDescent="0.3">
      <c r="B926" s="10"/>
      <c r="E926" s="14"/>
    </row>
    <row r="927" spans="2:5" x14ac:dyDescent="0.3">
      <c r="B927" s="10"/>
      <c r="E927" s="14"/>
    </row>
    <row r="928" spans="2:5" x14ac:dyDescent="0.3">
      <c r="B928" s="10"/>
      <c r="E928" s="14"/>
    </row>
    <row r="929" spans="2:5" x14ac:dyDescent="0.3">
      <c r="B929" s="10"/>
      <c r="E929" s="14"/>
    </row>
    <row r="930" spans="2:5" x14ac:dyDescent="0.3">
      <c r="B930" s="10"/>
      <c r="E930" s="14"/>
    </row>
    <row r="931" spans="2:5" x14ac:dyDescent="0.3">
      <c r="B931" s="10"/>
      <c r="E931" s="14"/>
    </row>
    <row r="932" spans="2:5" x14ac:dyDescent="0.3">
      <c r="B932" s="10"/>
      <c r="E932" s="14"/>
    </row>
    <row r="933" spans="2:5" x14ac:dyDescent="0.3">
      <c r="B933" s="10"/>
      <c r="E933" s="14"/>
    </row>
    <row r="934" spans="2:5" x14ac:dyDescent="0.3">
      <c r="B934" s="10"/>
      <c r="E934" s="14"/>
    </row>
    <row r="935" spans="2:5" x14ac:dyDescent="0.3">
      <c r="B935" s="10"/>
      <c r="E935" s="14"/>
    </row>
    <row r="936" spans="2:5" x14ac:dyDescent="0.3">
      <c r="B936" s="10"/>
      <c r="E936" s="14"/>
    </row>
    <row r="937" spans="2:5" x14ac:dyDescent="0.3">
      <c r="B937" s="10"/>
      <c r="E937" s="14"/>
    </row>
    <row r="938" spans="2:5" x14ac:dyDescent="0.3">
      <c r="B938" s="10"/>
      <c r="E938" s="14"/>
    </row>
    <row r="939" spans="2:5" x14ac:dyDescent="0.3">
      <c r="B939" s="10"/>
      <c r="E939" s="14"/>
    </row>
    <row r="940" spans="2:5" x14ac:dyDescent="0.3">
      <c r="B940" s="10"/>
      <c r="E940" s="14"/>
    </row>
    <row r="941" spans="2:5" x14ac:dyDescent="0.3">
      <c r="B941" s="10"/>
      <c r="E941" s="14"/>
    </row>
    <row r="942" spans="2:5" x14ac:dyDescent="0.3">
      <c r="B942" s="10"/>
      <c r="E942" s="14"/>
    </row>
    <row r="943" spans="2:5" x14ac:dyDescent="0.3">
      <c r="B943" s="10"/>
      <c r="E943" s="14"/>
    </row>
    <row r="944" spans="2:5" x14ac:dyDescent="0.3">
      <c r="B944" s="10"/>
      <c r="E944" s="14"/>
    </row>
    <row r="945" spans="2:5" x14ac:dyDescent="0.3">
      <c r="B945" s="10"/>
      <c r="E945" s="14"/>
    </row>
    <row r="946" spans="2:5" x14ac:dyDescent="0.3">
      <c r="B946" s="10"/>
      <c r="E946" s="14"/>
    </row>
    <row r="947" spans="2:5" x14ac:dyDescent="0.3">
      <c r="B947" s="10"/>
      <c r="E947" s="14"/>
    </row>
    <row r="948" spans="2:5" x14ac:dyDescent="0.3">
      <c r="B948" s="10"/>
      <c r="E948" s="14"/>
    </row>
    <row r="949" spans="2:5" x14ac:dyDescent="0.3">
      <c r="B949" s="10"/>
      <c r="E949" s="14"/>
    </row>
    <row r="950" spans="2:5" x14ac:dyDescent="0.3">
      <c r="B950" s="10"/>
      <c r="E950" s="14"/>
    </row>
    <row r="951" spans="2:5" x14ac:dyDescent="0.3">
      <c r="B951" s="10"/>
      <c r="E951" s="14"/>
    </row>
    <row r="952" spans="2:5" x14ac:dyDescent="0.3">
      <c r="B952" s="10"/>
      <c r="E952" s="14"/>
    </row>
    <row r="953" spans="2:5" x14ac:dyDescent="0.3">
      <c r="B953" s="10"/>
      <c r="E953" s="14"/>
    </row>
    <row r="954" spans="2:5" x14ac:dyDescent="0.3">
      <c r="B954" s="10"/>
      <c r="E954" s="14"/>
    </row>
    <row r="955" spans="2:5" x14ac:dyDescent="0.3">
      <c r="B955" s="10"/>
      <c r="E955" s="14"/>
    </row>
    <row r="956" spans="2:5" x14ac:dyDescent="0.3">
      <c r="B956" s="10"/>
      <c r="E956" s="14"/>
    </row>
    <row r="957" spans="2:5" x14ac:dyDescent="0.3">
      <c r="B957" s="10"/>
      <c r="E957" s="14"/>
    </row>
    <row r="958" spans="2:5" x14ac:dyDescent="0.3">
      <c r="B958" s="10"/>
      <c r="E958" s="14"/>
    </row>
    <row r="959" spans="2:5" x14ac:dyDescent="0.3">
      <c r="B959" s="10"/>
      <c r="E959" s="14"/>
    </row>
    <row r="960" spans="2:5" x14ac:dyDescent="0.3">
      <c r="B960" s="10"/>
      <c r="E960" s="14"/>
    </row>
    <row r="961" spans="2:5" x14ac:dyDescent="0.3">
      <c r="B961" s="10"/>
      <c r="E961" s="14"/>
    </row>
    <row r="962" spans="2:5" x14ac:dyDescent="0.3">
      <c r="B962" s="10"/>
      <c r="E962" s="14"/>
    </row>
    <row r="963" spans="2:5" x14ac:dyDescent="0.3">
      <c r="B963" s="10"/>
      <c r="E963" s="14"/>
    </row>
    <row r="964" spans="2:5" x14ac:dyDescent="0.3">
      <c r="B964" s="10"/>
      <c r="E964" s="14"/>
    </row>
    <row r="965" spans="2:5" x14ac:dyDescent="0.3">
      <c r="B965" s="10"/>
      <c r="E965" s="14"/>
    </row>
    <row r="966" spans="2:5" x14ac:dyDescent="0.3">
      <c r="B966" s="10"/>
      <c r="E966" s="14"/>
    </row>
    <row r="967" spans="2:5" x14ac:dyDescent="0.3">
      <c r="B967" s="10"/>
      <c r="E967" s="14"/>
    </row>
    <row r="968" spans="2:5" x14ac:dyDescent="0.3">
      <c r="B968" s="10"/>
      <c r="E968" s="14"/>
    </row>
    <row r="969" spans="2:5" x14ac:dyDescent="0.3">
      <c r="B969" s="10"/>
      <c r="E969" s="14"/>
    </row>
    <row r="970" spans="2:5" x14ac:dyDescent="0.3">
      <c r="B970" s="10"/>
      <c r="E970" s="14"/>
    </row>
    <row r="971" spans="2:5" x14ac:dyDescent="0.3">
      <c r="B971" s="10"/>
      <c r="E971" s="14"/>
    </row>
    <row r="972" spans="2:5" x14ac:dyDescent="0.3">
      <c r="B972" s="10"/>
      <c r="E972" s="14"/>
    </row>
    <row r="973" spans="2:5" x14ac:dyDescent="0.3">
      <c r="B973" s="10"/>
      <c r="E973" s="14"/>
    </row>
    <row r="974" spans="2:5" x14ac:dyDescent="0.3">
      <c r="B974" s="10"/>
      <c r="E974" s="14"/>
    </row>
    <row r="975" spans="2:5" x14ac:dyDescent="0.3">
      <c r="B975" s="10"/>
      <c r="E975" s="14"/>
    </row>
    <row r="976" spans="2:5" x14ac:dyDescent="0.3">
      <c r="B976" s="10"/>
      <c r="E976" s="14"/>
    </row>
    <row r="977" spans="2:5" x14ac:dyDescent="0.3">
      <c r="B977" s="10"/>
      <c r="E977" s="14"/>
    </row>
    <row r="978" spans="2:5" x14ac:dyDescent="0.3">
      <c r="B978" s="10"/>
      <c r="E978" s="14"/>
    </row>
    <row r="979" spans="2:5" x14ac:dyDescent="0.3">
      <c r="B979" s="10"/>
      <c r="E979" s="14"/>
    </row>
    <row r="980" spans="2:5" x14ac:dyDescent="0.3">
      <c r="B980" s="10"/>
      <c r="E980" s="14"/>
    </row>
    <row r="981" spans="2:5" x14ac:dyDescent="0.3">
      <c r="B981" s="10"/>
      <c r="E981" s="14"/>
    </row>
    <row r="982" spans="2:5" x14ac:dyDescent="0.3">
      <c r="B982" s="10"/>
      <c r="E982" s="14"/>
    </row>
    <row r="983" spans="2:5" x14ac:dyDescent="0.3">
      <c r="B983" s="10"/>
      <c r="E983" s="14"/>
    </row>
    <row r="984" spans="2:5" x14ac:dyDescent="0.3">
      <c r="B984" s="10"/>
      <c r="E984" s="14"/>
    </row>
    <row r="985" spans="2:5" x14ac:dyDescent="0.3">
      <c r="B985" s="10"/>
      <c r="E985" s="14"/>
    </row>
    <row r="986" spans="2:5" x14ac:dyDescent="0.3">
      <c r="B986" s="10"/>
      <c r="E986" s="14"/>
    </row>
    <row r="987" spans="2:5" x14ac:dyDescent="0.3">
      <c r="B987" s="10"/>
      <c r="E987" s="14"/>
    </row>
    <row r="988" spans="2:5" x14ac:dyDescent="0.3">
      <c r="B988" s="10"/>
      <c r="E988" s="14"/>
    </row>
    <row r="989" spans="2:5" x14ac:dyDescent="0.3">
      <c r="B989" s="10"/>
      <c r="E989" s="14"/>
    </row>
    <row r="990" spans="2:5" x14ac:dyDescent="0.3">
      <c r="B990" s="10"/>
      <c r="E990" s="14"/>
    </row>
    <row r="991" spans="2:5" x14ac:dyDescent="0.3">
      <c r="B991" s="10"/>
      <c r="E991" s="14"/>
    </row>
    <row r="992" spans="2:5" x14ac:dyDescent="0.3">
      <c r="B992" s="10"/>
      <c r="E992" s="14"/>
    </row>
    <row r="993" spans="2:5" x14ac:dyDescent="0.3">
      <c r="B993" s="10"/>
      <c r="E993" s="14"/>
    </row>
    <row r="994" spans="2:5" x14ac:dyDescent="0.3">
      <c r="B994" s="10"/>
      <c r="E994" s="14"/>
    </row>
    <row r="995" spans="2:5" x14ac:dyDescent="0.3">
      <c r="B995" s="10"/>
      <c r="E995" s="14"/>
    </row>
    <row r="996" spans="2:5" x14ac:dyDescent="0.3">
      <c r="B996" s="10"/>
      <c r="E996" s="14"/>
    </row>
    <row r="997" spans="2:5" x14ac:dyDescent="0.3">
      <c r="B997" s="10"/>
      <c r="E997" s="14"/>
    </row>
    <row r="998" spans="2:5" x14ac:dyDescent="0.3">
      <c r="B998" s="10"/>
      <c r="E998" s="14"/>
    </row>
    <row r="999" spans="2:5" x14ac:dyDescent="0.3">
      <c r="B999" s="10"/>
      <c r="E999" s="14"/>
    </row>
    <row r="1000" spans="2:5" x14ac:dyDescent="0.3">
      <c r="B1000" s="10"/>
      <c r="E1000" s="14"/>
    </row>
    <row r="1001" spans="2:5" x14ac:dyDescent="0.3">
      <c r="B1001" s="10"/>
      <c r="E1001" s="14"/>
    </row>
    <row r="1002" spans="2:5" x14ac:dyDescent="0.3">
      <c r="B1002" s="10"/>
      <c r="E1002" s="14"/>
    </row>
    <row r="1003" spans="2:5" x14ac:dyDescent="0.3">
      <c r="B1003" s="10"/>
      <c r="E1003" s="14"/>
    </row>
    <row r="1004" spans="2:5" x14ac:dyDescent="0.3">
      <c r="B1004" s="10"/>
      <c r="E1004" s="14"/>
    </row>
    <row r="1005" spans="2:5" x14ac:dyDescent="0.3">
      <c r="B1005" s="10"/>
      <c r="E1005" s="14"/>
    </row>
    <row r="1006" spans="2:5" x14ac:dyDescent="0.3">
      <c r="B1006" s="10"/>
      <c r="E1006" s="14"/>
    </row>
    <row r="1007" spans="2:5" x14ac:dyDescent="0.3">
      <c r="B1007" s="10"/>
      <c r="E1007" s="14"/>
    </row>
    <row r="1008" spans="2:5" x14ac:dyDescent="0.3">
      <c r="B1008" s="10"/>
      <c r="E1008" s="14"/>
    </row>
    <row r="1009" spans="2:5" x14ac:dyDescent="0.3">
      <c r="B1009" s="10"/>
      <c r="E1009" s="14"/>
    </row>
    <row r="1010" spans="2:5" x14ac:dyDescent="0.3">
      <c r="B1010" s="10"/>
      <c r="E1010" s="14"/>
    </row>
    <row r="1011" spans="2:5" x14ac:dyDescent="0.3">
      <c r="B1011" s="10"/>
      <c r="E1011" s="14"/>
    </row>
    <row r="1012" spans="2:5" x14ac:dyDescent="0.3">
      <c r="B1012" s="10"/>
      <c r="E1012" s="14"/>
    </row>
    <row r="1013" spans="2:5" x14ac:dyDescent="0.3">
      <c r="B1013" s="10"/>
      <c r="E1013" s="14"/>
    </row>
    <row r="1014" spans="2:5" x14ac:dyDescent="0.3">
      <c r="B1014" s="10"/>
      <c r="E1014" s="14"/>
    </row>
    <row r="1015" spans="2:5" x14ac:dyDescent="0.3">
      <c r="B1015" s="10"/>
      <c r="E1015" s="14"/>
    </row>
    <row r="1016" spans="2:5" x14ac:dyDescent="0.3">
      <c r="B1016" s="10"/>
      <c r="E1016" s="14"/>
    </row>
    <row r="1017" spans="2:5" x14ac:dyDescent="0.3">
      <c r="B1017" s="10"/>
      <c r="E1017" s="14"/>
    </row>
    <row r="1018" spans="2:5" x14ac:dyDescent="0.3">
      <c r="B1018" s="10"/>
      <c r="E1018" s="14"/>
    </row>
    <row r="1019" spans="2:5" x14ac:dyDescent="0.3">
      <c r="B1019" s="10"/>
      <c r="E1019" s="14"/>
    </row>
    <row r="1020" spans="2:5" x14ac:dyDescent="0.3">
      <c r="B1020" s="10"/>
      <c r="E1020" s="14"/>
    </row>
    <row r="1021" spans="2:5" x14ac:dyDescent="0.3">
      <c r="B1021" s="10"/>
      <c r="E1021" s="14"/>
    </row>
    <row r="1022" spans="2:5" x14ac:dyDescent="0.3">
      <c r="B1022" s="10"/>
      <c r="E1022" s="14"/>
    </row>
    <row r="1023" spans="2:5" x14ac:dyDescent="0.3">
      <c r="B1023" s="10"/>
      <c r="E1023" s="14"/>
    </row>
    <row r="1024" spans="2:5" x14ac:dyDescent="0.3">
      <c r="B1024" s="10"/>
      <c r="E1024" s="14"/>
    </row>
    <row r="1025" spans="2:5" x14ac:dyDescent="0.3">
      <c r="B1025" s="10"/>
      <c r="E1025" s="14"/>
    </row>
    <row r="1026" spans="2:5" x14ac:dyDescent="0.3">
      <c r="B1026" s="10"/>
      <c r="E1026" s="14"/>
    </row>
    <row r="1027" spans="2:5" x14ac:dyDescent="0.3">
      <c r="B1027" s="10"/>
      <c r="E1027" s="14"/>
    </row>
    <row r="1028" spans="2:5" x14ac:dyDescent="0.3">
      <c r="B1028" s="10"/>
      <c r="E1028" s="14"/>
    </row>
    <row r="1029" spans="2:5" x14ac:dyDescent="0.3">
      <c r="B1029" s="10"/>
      <c r="E1029" s="14"/>
    </row>
    <row r="1030" spans="2:5" x14ac:dyDescent="0.3">
      <c r="B1030" s="10"/>
      <c r="E1030" s="14"/>
    </row>
    <row r="1031" spans="2:5" x14ac:dyDescent="0.3">
      <c r="B1031" s="10"/>
      <c r="E1031" s="14"/>
    </row>
    <row r="1032" spans="2:5" x14ac:dyDescent="0.3">
      <c r="B1032" s="10"/>
      <c r="E1032" s="14"/>
    </row>
    <row r="1033" spans="2:5" x14ac:dyDescent="0.3">
      <c r="B1033" s="10"/>
      <c r="E1033" s="14"/>
    </row>
    <row r="1034" spans="2:5" x14ac:dyDescent="0.3">
      <c r="B1034" s="10"/>
      <c r="E1034" s="14"/>
    </row>
    <row r="1035" spans="2:5" x14ac:dyDescent="0.3">
      <c r="B1035" s="10"/>
      <c r="E1035" s="14"/>
    </row>
    <row r="1036" spans="2:5" x14ac:dyDescent="0.3">
      <c r="B1036" s="10"/>
      <c r="E1036" s="14"/>
    </row>
    <row r="1037" spans="2:5" x14ac:dyDescent="0.3">
      <c r="B1037" s="10"/>
      <c r="E1037" s="14"/>
    </row>
    <row r="1038" spans="2:5" x14ac:dyDescent="0.3">
      <c r="B1038" s="10"/>
      <c r="E1038" s="14"/>
    </row>
    <row r="1039" spans="2:5" x14ac:dyDescent="0.3">
      <c r="B1039" s="10"/>
      <c r="E1039" s="14"/>
    </row>
    <row r="1040" spans="2:5" x14ac:dyDescent="0.3">
      <c r="B1040" s="10"/>
      <c r="E1040" s="14"/>
    </row>
    <row r="1041" spans="2:5" x14ac:dyDescent="0.3">
      <c r="B1041" s="10"/>
      <c r="E1041" s="14"/>
    </row>
    <row r="1042" spans="2:5" x14ac:dyDescent="0.3">
      <c r="B1042" s="10"/>
      <c r="E1042" s="14"/>
    </row>
    <row r="1043" spans="2:5" x14ac:dyDescent="0.3">
      <c r="B1043" s="10"/>
      <c r="E1043" s="14"/>
    </row>
    <row r="1044" spans="2:5" x14ac:dyDescent="0.3">
      <c r="B1044" s="10"/>
      <c r="E1044" s="14"/>
    </row>
    <row r="1045" spans="2:5" x14ac:dyDescent="0.3">
      <c r="B1045" s="10"/>
      <c r="E1045" s="14"/>
    </row>
    <row r="1046" spans="2:5" x14ac:dyDescent="0.3">
      <c r="B1046" s="10"/>
      <c r="E1046" s="14"/>
    </row>
    <row r="1047" spans="2:5" x14ac:dyDescent="0.3">
      <c r="B1047" s="10"/>
      <c r="E1047" s="14"/>
    </row>
    <row r="1048" spans="2:5" x14ac:dyDescent="0.3">
      <c r="B1048" s="10"/>
      <c r="E1048" s="14"/>
    </row>
    <row r="1049" spans="2:5" x14ac:dyDescent="0.3">
      <c r="B1049" s="10"/>
      <c r="E1049" s="14"/>
    </row>
    <row r="1050" spans="2:5" x14ac:dyDescent="0.3">
      <c r="B1050" s="10"/>
      <c r="E1050" s="14"/>
    </row>
    <row r="1051" spans="2:5" x14ac:dyDescent="0.3">
      <c r="B1051" s="10"/>
      <c r="E1051" s="14"/>
    </row>
    <row r="1052" spans="2:5" x14ac:dyDescent="0.3">
      <c r="B1052" s="10"/>
      <c r="E1052" s="14"/>
    </row>
    <row r="1053" spans="2:5" x14ac:dyDescent="0.3">
      <c r="B1053" s="10"/>
      <c r="E1053" s="14"/>
    </row>
    <row r="1054" spans="2:5" x14ac:dyDescent="0.3">
      <c r="B1054" s="10"/>
      <c r="E1054" s="14"/>
    </row>
    <row r="1055" spans="2:5" x14ac:dyDescent="0.3">
      <c r="B1055" s="10"/>
      <c r="E1055" s="14"/>
    </row>
    <row r="1056" spans="2:5" x14ac:dyDescent="0.3">
      <c r="B1056" s="10"/>
      <c r="E1056" s="14"/>
    </row>
    <row r="1057" spans="2:5" x14ac:dyDescent="0.3">
      <c r="B1057" s="10"/>
      <c r="E1057" s="14"/>
    </row>
    <row r="1058" spans="2:5" x14ac:dyDescent="0.3">
      <c r="B1058" s="10"/>
      <c r="E1058" s="14"/>
    </row>
    <row r="1059" spans="2:5" x14ac:dyDescent="0.3">
      <c r="B1059" s="10"/>
      <c r="E1059" s="14"/>
    </row>
    <row r="1060" spans="2:5" x14ac:dyDescent="0.3">
      <c r="B1060" s="10"/>
      <c r="E1060" s="14"/>
    </row>
    <row r="1061" spans="2:5" x14ac:dyDescent="0.3">
      <c r="B1061" s="10"/>
      <c r="E1061" s="14"/>
    </row>
    <row r="1062" spans="2:5" x14ac:dyDescent="0.3">
      <c r="B1062" s="10"/>
      <c r="E1062" s="14"/>
    </row>
    <row r="1063" spans="2:5" x14ac:dyDescent="0.3">
      <c r="B1063" s="10"/>
      <c r="E1063" s="14"/>
    </row>
    <row r="1064" spans="2:5" x14ac:dyDescent="0.3">
      <c r="B1064" s="10"/>
      <c r="E1064" s="14"/>
    </row>
    <row r="1065" spans="2:5" x14ac:dyDescent="0.3">
      <c r="B1065" s="10"/>
      <c r="E1065" s="14"/>
    </row>
    <row r="1066" spans="2:5" x14ac:dyDescent="0.3">
      <c r="B1066" s="10"/>
      <c r="E1066" s="14"/>
    </row>
    <row r="1067" spans="2:5" x14ac:dyDescent="0.3">
      <c r="B1067" s="10"/>
      <c r="E1067" s="14"/>
    </row>
    <row r="1068" spans="2:5" x14ac:dyDescent="0.3">
      <c r="B1068" s="10"/>
      <c r="E1068" s="14"/>
    </row>
    <row r="1069" spans="2:5" x14ac:dyDescent="0.3">
      <c r="B1069" s="10"/>
      <c r="E1069" s="14"/>
    </row>
    <row r="1070" spans="2:5" x14ac:dyDescent="0.3">
      <c r="B1070" s="10"/>
      <c r="E1070" s="14"/>
    </row>
    <row r="1071" spans="2:5" x14ac:dyDescent="0.3">
      <c r="B1071" s="10"/>
      <c r="E1071" s="14"/>
    </row>
    <row r="1072" spans="2:5" x14ac:dyDescent="0.3">
      <c r="B1072" s="10"/>
      <c r="E1072" s="14"/>
    </row>
    <row r="1073" spans="2:5" x14ac:dyDescent="0.3">
      <c r="B1073" s="10"/>
      <c r="E1073" s="14"/>
    </row>
    <row r="1074" spans="2:5" x14ac:dyDescent="0.3">
      <c r="B1074" s="10"/>
      <c r="E1074" s="14"/>
    </row>
    <row r="1075" spans="2:5" x14ac:dyDescent="0.3">
      <c r="B1075" s="10"/>
      <c r="E1075" s="14"/>
    </row>
    <row r="1076" spans="2:5" x14ac:dyDescent="0.3">
      <c r="B1076" s="10"/>
      <c r="E1076" s="14"/>
    </row>
    <row r="1077" spans="2:5" x14ac:dyDescent="0.3">
      <c r="B1077" s="10"/>
      <c r="E1077" s="14"/>
    </row>
    <row r="1078" spans="2:5" x14ac:dyDescent="0.3">
      <c r="B1078" s="10"/>
      <c r="E1078" s="14"/>
    </row>
    <row r="1079" spans="2:5" x14ac:dyDescent="0.3">
      <c r="B1079" s="10"/>
      <c r="E1079" s="14"/>
    </row>
    <row r="1080" spans="2:5" x14ac:dyDescent="0.3">
      <c r="B1080" s="10"/>
      <c r="E1080" s="14"/>
    </row>
    <row r="1081" spans="2:5" x14ac:dyDescent="0.3">
      <c r="B1081" s="10"/>
      <c r="E1081" s="14"/>
    </row>
    <row r="1082" spans="2:5" x14ac:dyDescent="0.3">
      <c r="B1082" s="10"/>
      <c r="E1082" s="14"/>
    </row>
    <row r="1083" spans="2:5" x14ac:dyDescent="0.3">
      <c r="B1083" s="10"/>
      <c r="E1083" s="14"/>
    </row>
    <row r="1084" spans="2:5" x14ac:dyDescent="0.3">
      <c r="B1084" s="10"/>
      <c r="E1084" s="14"/>
    </row>
    <row r="1085" spans="2:5" x14ac:dyDescent="0.3">
      <c r="B1085" s="10"/>
      <c r="E1085" s="14"/>
    </row>
    <row r="1086" spans="2:5" x14ac:dyDescent="0.3">
      <c r="B1086" s="10"/>
      <c r="E1086" s="14"/>
    </row>
    <row r="1087" spans="2:5" x14ac:dyDescent="0.3">
      <c r="B1087" s="10"/>
      <c r="E1087" s="14"/>
    </row>
    <row r="1088" spans="2:5" x14ac:dyDescent="0.3">
      <c r="B1088" s="10"/>
      <c r="E1088" s="14"/>
    </row>
    <row r="1089" spans="2:5" x14ac:dyDescent="0.3">
      <c r="B1089" s="10"/>
      <c r="E1089" s="14"/>
    </row>
    <row r="1090" spans="2:5" x14ac:dyDescent="0.3">
      <c r="B1090" s="10"/>
      <c r="E1090" s="14"/>
    </row>
    <row r="1091" spans="2:5" x14ac:dyDescent="0.3">
      <c r="B1091" s="10"/>
      <c r="E1091" s="14"/>
    </row>
    <row r="1092" spans="2:5" x14ac:dyDescent="0.3">
      <c r="B1092" s="10"/>
      <c r="E1092" s="14"/>
    </row>
    <row r="1093" spans="2:5" x14ac:dyDescent="0.3">
      <c r="B1093" s="10"/>
      <c r="E1093" s="14"/>
    </row>
    <row r="1094" spans="2:5" x14ac:dyDescent="0.3">
      <c r="B1094" s="10"/>
      <c r="E1094" s="14"/>
    </row>
    <row r="1095" spans="2:5" x14ac:dyDescent="0.3">
      <c r="B1095" s="10"/>
      <c r="E1095" s="14"/>
    </row>
    <row r="1096" spans="2:5" x14ac:dyDescent="0.3">
      <c r="B1096" s="10"/>
      <c r="E1096" s="14"/>
    </row>
    <row r="1097" spans="2:5" x14ac:dyDescent="0.3">
      <c r="B1097" s="10"/>
      <c r="E1097" s="14"/>
    </row>
    <row r="1098" spans="2:5" x14ac:dyDescent="0.3">
      <c r="B1098" s="10"/>
      <c r="E1098" s="14"/>
    </row>
    <row r="1099" spans="2:5" x14ac:dyDescent="0.3">
      <c r="B1099" s="10"/>
      <c r="E1099" s="14"/>
    </row>
    <row r="1100" spans="2:5" x14ac:dyDescent="0.3">
      <c r="B1100" s="10"/>
      <c r="E1100" s="14"/>
    </row>
    <row r="1101" spans="2:5" x14ac:dyDescent="0.3">
      <c r="B1101" s="10"/>
      <c r="E1101" s="14"/>
    </row>
    <row r="1102" spans="2:5" x14ac:dyDescent="0.3">
      <c r="B1102" s="10"/>
      <c r="E1102" s="14"/>
    </row>
    <row r="1103" spans="2:5" x14ac:dyDescent="0.3">
      <c r="B1103" s="10"/>
      <c r="E1103" s="14"/>
    </row>
    <row r="1104" spans="2:5" x14ac:dyDescent="0.3">
      <c r="B1104" s="10"/>
      <c r="E1104" s="14"/>
    </row>
    <row r="1105" spans="2:5" x14ac:dyDescent="0.3">
      <c r="B1105" s="10"/>
      <c r="E1105" s="14"/>
    </row>
    <row r="1106" spans="2:5" x14ac:dyDescent="0.3">
      <c r="B1106" s="10"/>
      <c r="E1106" s="14"/>
    </row>
    <row r="1107" spans="2:5" x14ac:dyDescent="0.3">
      <c r="B1107" s="10"/>
      <c r="E1107" s="14"/>
    </row>
    <row r="1108" spans="2:5" x14ac:dyDescent="0.3">
      <c r="B1108" s="10"/>
      <c r="E1108" s="14"/>
    </row>
    <row r="1109" spans="2:5" x14ac:dyDescent="0.3">
      <c r="B1109" s="10"/>
      <c r="E1109" s="14"/>
    </row>
    <row r="1110" spans="2:5" x14ac:dyDescent="0.3">
      <c r="B1110" s="10"/>
      <c r="E1110" s="14"/>
    </row>
    <row r="1111" spans="2:5" x14ac:dyDescent="0.3">
      <c r="B1111" s="10"/>
      <c r="E1111" s="14"/>
    </row>
    <row r="1112" spans="2:5" x14ac:dyDescent="0.3">
      <c r="B1112" s="10"/>
      <c r="E1112" s="14"/>
    </row>
    <row r="1113" spans="2:5" x14ac:dyDescent="0.3">
      <c r="B1113" s="10"/>
      <c r="E1113" s="14"/>
    </row>
    <row r="1114" spans="2:5" x14ac:dyDescent="0.3">
      <c r="B1114" s="10"/>
      <c r="E1114" s="14"/>
    </row>
    <row r="1115" spans="2:5" x14ac:dyDescent="0.3">
      <c r="B1115" s="10"/>
      <c r="E1115" s="14"/>
    </row>
    <row r="1116" spans="2:5" x14ac:dyDescent="0.3">
      <c r="B1116" s="10"/>
      <c r="E1116" s="14"/>
    </row>
    <row r="1117" spans="2:5" x14ac:dyDescent="0.3">
      <c r="B1117" s="10"/>
      <c r="E1117" s="14"/>
    </row>
    <row r="1118" spans="2:5" x14ac:dyDescent="0.3">
      <c r="B1118" s="10"/>
      <c r="E1118" s="14"/>
    </row>
    <row r="1119" spans="2:5" x14ac:dyDescent="0.3">
      <c r="B1119" s="10"/>
      <c r="E1119" s="14"/>
    </row>
    <row r="1120" spans="2:5" x14ac:dyDescent="0.3">
      <c r="B1120" s="10"/>
      <c r="E1120" s="14"/>
    </row>
    <row r="1121" spans="2:5" x14ac:dyDescent="0.3">
      <c r="B1121" s="10"/>
      <c r="E1121" s="14"/>
    </row>
    <row r="1122" spans="2:5" x14ac:dyDescent="0.3">
      <c r="B1122" s="10"/>
      <c r="E1122" s="14"/>
    </row>
    <row r="1123" spans="2:5" x14ac:dyDescent="0.3">
      <c r="B1123" s="10"/>
      <c r="E1123" s="14"/>
    </row>
    <row r="1124" spans="2:5" x14ac:dyDescent="0.3">
      <c r="B1124" s="10"/>
      <c r="E1124" s="14"/>
    </row>
    <row r="1125" spans="2:5" x14ac:dyDescent="0.3">
      <c r="B1125" s="10"/>
      <c r="E1125" s="14"/>
    </row>
    <row r="1126" spans="2:5" x14ac:dyDescent="0.3">
      <c r="B1126" s="10"/>
      <c r="E1126" s="14"/>
    </row>
    <row r="1127" spans="2:5" x14ac:dyDescent="0.3">
      <c r="B1127" s="10"/>
      <c r="E1127" s="14"/>
    </row>
    <row r="1128" spans="2:5" x14ac:dyDescent="0.3">
      <c r="B1128" s="10"/>
      <c r="E1128" s="14"/>
    </row>
    <row r="1129" spans="2:5" x14ac:dyDescent="0.3">
      <c r="B1129" s="10"/>
      <c r="E1129" s="14"/>
    </row>
    <row r="1130" spans="2:5" x14ac:dyDescent="0.3">
      <c r="B1130" s="10"/>
      <c r="E1130" s="14"/>
    </row>
    <row r="1131" spans="2:5" x14ac:dyDescent="0.3">
      <c r="B1131" s="10"/>
      <c r="E1131" s="14"/>
    </row>
    <row r="1132" spans="2:5" x14ac:dyDescent="0.3">
      <c r="B1132" s="10"/>
      <c r="E1132" s="14"/>
    </row>
    <row r="1133" spans="2:5" x14ac:dyDescent="0.3">
      <c r="B1133" s="10"/>
      <c r="E1133" s="14"/>
    </row>
    <row r="1134" spans="2:5" x14ac:dyDescent="0.3">
      <c r="B1134" s="10"/>
      <c r="E1134" s="14"/>
    </row>
    <row r="1135" spans="2:5" x14ac:dyDescent="0.3">
      <c r="B1135" s="10"/>
      <c r="E1135" s="14"/>
    </row>
    <row r="1136" spans="2:5" x14ac:dyDescent="0.3">
      <c r="B1136" s="10"/>
      <c r="E1136" s="14"/>
    </row>
    <row r="1137" spans="2:5" x14ac:dyDescent="0.3">
      <c r="B1137" s="10"/>
      <c r="E1137" s="14"/>
    </row>
    <row r="1138" spans="2:5" x14ac:dyDescent="0.3">
      <c r="B1138" s="10"/>
      <c r="E1138" s="14"/>
    </row>
    <row r="1139" spans="2:5" x14ac:dyDescent="0.3">
      <c r="B1139" s="10"/>
      <c r="E1139" s="14"/>
    </row>
    <row r="1140" spans="2:5" x14ac:dyDescent="0.3">
      <c r="B1140" s="10"/>
      <c r="E1140" s="14"/>
    </row>
    <row r="1141" spans="2:5" x14ac:dyDescent="0.3">
      <c r="B1141" s="10"/>
      <c r="E1141" s="14"/>
    </row>
    <row r="1142" spans="2:5" x14ac:dyDescent="0.3">
      <c r="B1142" s="10"/>
      <c r="E1142" s="14"/>
    </row>
    <row r="1143" spans="2:5" x14ac:dyDescent="0.3">
      <c r="B1143" s="10"/>
      <c r="E1143" s="14"/>
    </row>
    <row r="1144" spans="2:5" x14ac:dyDescent="0.3">
      <c r="B1144" s="10"/>
      <c r="E1144" s="14"/>
    </row>
    <row r="1145" spans="2:5" x14ac:dyDescent="0.3">
      <c r="B1145" s="10"/>
      <c r="E1145" s="14"/>
    </row>
    <row r="1146" spans="2:5" x14ac:dyDescent="0.3">
      <c r="B1146" s="10"/>
      <c r="E1146" s="14"/>
    </row>
    <row r="1147" spans="2:5" x14ac:dyDescent="0.3">
      <c r="B1147" s="10"/>
      <c r="E1147" s="14"/>
    </row>
    <row r="1148" spans="2:5" x14ac:dyDescent="0.3">
      <c r="B1148" s="10"/>
      <c r="E1148" s="14"/>
    </row>
    <row r="1149" spans="2:5" x14ac:dyDescent="0.3">
      <c r="B1149" s="10"/>
      <c r="E1149" s="14"/>
    </row>
    <row r="1150" spans="2:5" x14ac:dyDescent="0.3">
      <c r="B1150" s="10"/>
      <c r="E1150" s="14"/>
    </row>
    <row r="1151" spans="2:5" x14ac:dyDescent="0.3">
      <c r="B1151" s="10"/>
      <c r="E1151" s="14"/>
    </row>
    <row r="1152" spans="2:5" x14ac:dyDescent="0.3">
      <c r="B1152" s="10"/>
      <c r="E1152" s="14"/>
    </row>
    <row r="1153" spans="2:5" x14ac:dyDescent="0.3">
      <c r="B1153" s="10"/>
      <c r="E1153" s="14"/>
    </row>
    <row r="1154" spans="2:5" x14ac:dyDescent="0.3">
      <c r="B1154" s="10"/>
      <c r="E1154" s="14"/>
    </row>
    <row r="1155" spans="2:5" x14ac:dyDescent="0.3">
      <c r="B1155" s="10"/>
      <c r="E1155" s="14"/>
    </row>
    <row r="1156" spans="2:5" x14ac:dyDescent="0.3">
      <c r="B1156" s="10"/>
      <c r="E1156" s="14"/>
    </row>
    <row r="1157" spans="2:5" x14ac:dyDescent="0.3">
      <c r="B1157" s="10"/>
      <c r="E1157" s="14"/>
    </row>
    <row r="1158" spans="2:5" x14ac:dyDescent="0.3">
      <c r="B1158" s="10"/>
      <c r="E1158" s="14"/>
    </row>
    <row r="1159" spans="2:5" x14ac:dyDescent="0.3">
      <c r="B1159" s="10"/>
      <c r="E1159" s="14"/>
    </row>
    <row r="1160" spans="2:5" x14ac:dyDescent="0.3">
      <c r="B1160" s="10"/>
      <c r="E1160" s="14"/>
    </row>
    <row r="1161" spans="2:5" x14ac:dyDescent="0.3">
      <c r="B1161" s="10"/>
      <c r="E1161" s="14"/>
    </row>
    <row r="1162" spans="2:5" x14ac:dyDescent="0.3">
      <c r="B1162" s="10"/>
      <c r="E1162" s="14"/>
    </row>
    <row r="1163" spans="2:5" x14ac:dyDescent="0.3">
      <c r="B1163" s="10"/>
      <c r="E1163" s="14"/>
    </row>
    <row r="1164" spans="2:5" x14ac:dyDescent="0.3">
      <c r="B1164" s="10"/>
      <c r="E1164" s="14"/>
    </row>
    <row r="1165" spans="2:5" x14ac:dyDescent="0.3">
      <c r="B1165" s="10"/>
      <c r="E1165" s="14"/>
    </row>
    <row r="1166" spans="2:5" x14ac:dyDescent="0.3">
      <c r="B1166" s="10"/>
      <c r="E1166" s="14"/>
    </row>
    <row r="1167" spans="2:5" x14ac:dyDescent="0.3">
      <c r="B1167" s="10"/>
      <c r="E1167" s="14"/>
    </row>
    <row r="1168" spans="2:5" x14ac:dyDescent="0.3">
      <c r="B1168" s="10"/>
      <c r="E1168" s="14"/>
    </row>
    <row r="1169" spans="2:5" x14ac:dyDescent="0.3">
      <c r="B1169" s="10"/>
      <c r="E1169" s="14"/>
    </row>
    <row r="1170" spans="2:5" x14ac:dyDescent="0.3">
      <c r="B1170" s="10"/>
      <c r="E1170" s="14"/>
    </row>
    <row r="1171" spans="2:5" x14ac:dyDescent="0.3">
      <c r="B1171" s="10"/>
      <c r="E1171" s="14"/>
    </row>
    <row r="1172" spans="2:5" x14ac:dyDescent="0.3">
      <c r="B1172" s="10"/>
      <c r="E1172" s="14"/>
    </row>
    <row r="1173" spans="2:5" x14ac:dyDescent="0.3">
      <c r="B1173" s="10"/>
      <c r="E1173" s="14"/>
    </row>
    <row r="1174" spans="2:5" x14ac:dyDescent="0.3">
      <c r="B1174" s="10"/>
      <c r="E1174" s="14"/>
    </row>
    <row r="1175" spans="2:5" x14ac:dyDescent="0.3">
      <c r="B1175" s="10"/>
      <c r="E1175" s="14"/>
    </row>
    <row r="1176" spans="2:5" x14ac:dyDescent="0.3">
      <c r="B1176" s="10"/>
      <c r="E1176" s="14"/>
    </row>
    <row r="1177" spans="2:5" x14ac:dyDescent="0.3">
      <c r="B1177" s="10"/>
      <c r="E1177" s="14"/>
    </row>
    <row r="1178" spans="2:5" x14ac:dyDescent="0.3">
      <c r="B1178" s="10"/>
      <c r="E1178" s="14"/>
    </row>
    <row r="1179" spans="2:5" x14ac:dyDescent="0.3">
      <c r="B1179" s="10"/>
      <c r="E1179" s="14"/>
    </row>
    <row r="1180" spans="2:5" x14ac:dyDescent="0.3">
      <c r="B1180" s="10"/>
      <c r="E1180" s="14"/>
    </row>
    <row r="1181" spans="2:5" x14ac:dyDescent="0.3">
      <c r="B1181" s="10"/>
      <c r="E1181" s="14"/>
    </row>
    <row r="1182" spans="2:5" x14ac:dyDescent="0.3">
      <c r="B1182" s="10"/>
      <c r="E1182" s="14"/>
    </row>
    <row r="1183" spans="2:5" x14ac:dyDescent="0.3">
      <c r="B1183" s="10"/>
      <c r="E1183" s="14"/>
    </row>
    <row r="1184" spans="2:5" x14ac:dyDescent="0.3">
      <c r="B1184" s="10"/>
      <c r="E1184" s="14"/>
    </row>
    <row r="1185" spans="2:5" x14ac:dyDescent="0.3">
      <c r="B1185" s="10"/>
      <c r="E1185" s="14"/>
    </row>
    <row r="1186" spans="2:5" x14ac:dyDescent="0.3">
      <c r="B1186" s="10"/>
      <c r="E1186" s="14"/>
    </row>
    <row r="1187" spans="2:5" x14ac:dyDescent="0.3">
      <c r="B1187" s="10"/>
      <c r="E1187" s="14"/>
    </row>
    <row r="1188" spans="2:5" x14ac:dyDescent="0.3">
      <c r="B1188" s="10"/>
      <c r="E1188" s="14"/>
    </row>
    <row r="1189" spans="2:5" x14ac:dyDescent="0.3">
      <c r="B1189" s="10"/>
      <c r="E1189" s="14"/>
    </row>
    <row r="1190" spans="2:5" x14ac:dyDescent="0.3">
      <c r="B1190" s="10"/>
      <c r="E1190" s="14"/>
    </row>
    <row r="1191" spans="2:5" x14ac:dyDescent="0.3">
      <c r="B1191" s="10"/>
      <c r="E1191" s="14"/>
    </row>
    <row r="1192" spans="2:5" x14ac:dyDescent="0.3">
      <c r="B1192" s="10"/>
      <c r="E1192" s="14"/>
    </row>
    <row r="1193" spans="2:5" x14ac:dyDescent="0.3">
      <c r="B1193" s="10"/>
      <c r="E1193" s="14"/>
    </row>
    <row r="1194" spans="2:5" x14ac:dyDescent="0.3">
      <c r="B1194" s="10"/>
      <c r="E1194" s="14"/>
    </row>
    <row r="1195" spans="2:5" x14ac:dyDescent="0.3">
      <c r="B1195" s="10"/>
      <c r="E1195" s="14"/>
    </row>
    <row r="1196" spans="2:5" x14ac:dyDescent="0.3">
      <c r="B1196" s="10"/>
      <c r="E1196" s="14"/>
    </row>
    <row r="1197" spans="2:5" x14ac:dyDescent="0.3">
      <c r="B1197" s="10"/>
      <c r="E1197" s="14"/>
    </row>
    <row r="1198" spans="2:5" x14ac:dyDescent="0.3">
      <c r="B1198" s="10"/>
      <c r="E1198" s="14"/>
    </row>
    <row r="1199" spans="2:5" x14ac:dyDescent="0.3">
      <c r="B1199" s="10"/>
      <c r="E1199" s="14"/>
    </row>
    <row r="1200" spans="2:5" x14ac:dyDescent="0.3">
      <c r="B1200" s="10"/>
      <c r="E1200" s="14"/>
    </row>
    <row r="1201" spans="2:5" x14ac:dyDescent="0.3">
      <c r="B1201" s="10"/>
      <c r="E1201" s="14"/>
    </row>
    <row r="1202" spans="2:5" x14ac:dyDescent="0.3">
      <c r="B1202" s="10"/>
      <c r="E1202" s="14"/>
    </row>
    <row r="1203" spans="2:5" x14ac:dyDescent="0.3">
      <c r="B1203" s="10"/>
      <c r="E1203" s="14"/>
    </row>
    <row r="1204" spans="2:5" x14ac:dyDescent="0.3">
      <c r="B1204" s="10"/>
      <c r="E1204" s="14"/>
    </row>
    <row r="1205" spans="2:5" x14ac:dyDescent="0.3">
      <c r="B1205" s="10"/>
      <c r="E1205" s="14"/>
    </row>
    <row r="1206" spans="2:5" x14ac:dyDescent="0.3">
      <c r="B1206" s="10"/>
      <c r="E1206" s="14"/>
    </row>
    <row r="1207" spans="2:5" x14ac:dyDescent="0.3">
      <c r="B1207" s="10"/>
      <c r="E1207" s="14"/>
    </row>
    <row r="1208" spans="2:5" x14ac:dyDescent="0.3">
      <c r="B1208" s="10"/>
      <c r="E1208" s="14"/>
    </row>
    <row r="1209" spans="2:5" x14ac:dyDescent="0.3">
      <c r="B1209" s="10"/>
      <c r="E1209" s="14"/>
    </row>
    <row r="1210" spans="2:5" x14ac:dyDescent="0.3">
      <c r="B1210" s="10"/>
      <c r="E1210" s="14"/>
    </row>
    <row r="1211" spans="2:5" x14ac:dyDescent="0.3">
      <c r="B1211" s="10"/>
      <c r="E1211" s="14"/>
    </row>
    <row r="1212" spans="2:5" x14ac:dyDescent="0.3">
      <c r="B1212" s="10"/>
      <c r="E1212" s="14"/>
    </row>
    <row r="1213" spans="2:5" x14ac:dyDescent="0.3">
      <c r="B1213" s="10"/>
      <c r="E1213" s="14"/>
    </row>
    <row r="1214" spans="2:5" x14ac:dyDescent="0.3">
      <c r="B1214" s="10"/>
      <c r="E1214" s="14"/>
    </row>
    <row r="1215" spans="2:5" x14ac:dyDescent="0.3">
      <c r="B1215" s="10"/>
      <c r="E1215" s="14"/>
    </row>
    <row r="1216" spans="2:5" x14ac:dyDescent="0.3">
      <c r="B1216" s="10"/>
      <c r="E1216" s="14"/>
    </row>
    <row r="1217" spans="2:5" x14ac:dyDescent="0.3">
      <c r="B1217" s="10"/>
      <c r="E1217" s="14"/>
    </row>
    <row r="1218" spans="2:5" x14ac:dyDescent="0.3">
      <c r="B1218" s="10"/>
      <c r="E1218" s="14"/>
    </row>
    <row r="1219" spans="2:5" x14ac:dyDescent="0.3">
      <c r="B1219" s="10"/>
      <c r="E1219" s="14"/>
    </row>
    <row r="1220" spans="2:5" x14ac:dyDescent="0.3">
      <c r="B1220" s="10"/>
      <c r="E1220" s="14"/>
    </row>
    <row r="1221" spans="2:5" x14ac:dyDescent="0.3">
      <c r="B1221" s="10"/>
      <c r="E1221" s="14"/>
    </row>
    <row r="1222" spans="2:5" x14ac:dyDescent="0.3">
      <c r="B1222" s="10"/>
      <c r="E1222" s="14"/>
    </row>
    <row r="1223" spans="2:5" x14ac:dyDescent="0.3">
      <c r="B1223" s="10"/>
      <c r="E1223" s="14"/>
    </row>
    <row r="1224" spans="2:5" x14ac:dyDescent="0.3">
      <c r="B1224" s="10"/>
      <c r="E1224" s="14"/>
    </row>
    <row r="1225" spans="2:5" x14ac:dyDescent="0.3">
      <c r="B1225" s="10"/>
      <c r="E1225" s="14"/>
    </row>
    <row r="1226" spans="2:5" x14ac:dyDescent="0.3">
      <c r="B1226" s="10"/>
      <c r="E1226" s="14"/>
    </row>
    <row r="1227" spans="2:5" x14ac:dyDescent="0.3">
      <c r="B1227" s="10"/>
      <c r="E1227" s="14"/>
    </row>
    <row r="1228" spans="2:5" x14ac:dyDescent="0.3">
      <c r="B1228" s="10"/>
      <c r="E1228" s="14"/>
    </row>
    <row r="1229" spans="2:5" x14ac:dyDescent="0.3">
      <c r="B1229" s="10"/>
      <c r="E1229" s="14"/>
    </row>
    <row r="1230" spans="2:5" x14ac:dyDescent="0.3">
      <c r="B1230" s="10"/>
      <c r="E1230" s="14"/>
    </row>
    <row r="1231" spans="2:5" x14ac:dyDescent="0.3">
      <c r="B1231" s="10"/>
      <c r="E1231" s="14"/>
    </row>
    <row r="1232" spans="2:5" x14ac:dyDescent="0.3">
      <c r="B1232" s="10"/>
      <c r="E1232" s="14"/>
    </row>
    <row r="1233" spans="2:5" x14ac:dyDescent="0.3">
      <c r="B1233" s="10"/>
      <c r="E1233" s="14"/>
    </row>
    <row r="1234" spans="2:5" x14ac:dyDescent="0.3">
      <c r="B1234" s="10"/>
      <c r="E1234" s="14"/>
    </row>
    <row r="1235" spans="2:5" x14ac:dyDescent="0.3">
      <c r="B1235" s="10"/>
      <c r="E1235" s="14"/>
    </row>
    <row r="1236" spans="2:5" x14ac:dyDescent="0.3">
      <c r="B1236" s="10"/>
      <c r="E1236" s="14"/>
    </row>
    <row r="1237" spans="2:5" x14ac:dyDescent="0.3">
      <c r="B1237" s="10"/>
      <c r="E1237" s="14"/>
    </row>
    <row r="1238" spans="2:5" x14ac:dyDescent="0.3">
      <c r="B1238" s="10"/>
      <c r="E1238" s="14"/>
    </row>
    <row r="1239" spans="2:5" x14ac:dyDescent="0.3">
      <c r="B1239" s="10"/>
      <c r="E1239" s="14"/>
    </row>
    <row r="1240" spans="2:5" x14ac:dyDescent="0.3">
      <c r="B1240" s="10"/>
      <c r="E1240" s="14"/>
    </row>
    <row r="1241" spans="2:5" x14ac:dyDescent="0.3">
      <c r="B1241" s="10"/>
      <c r="E1241" s="14"/>
    </row>
    <row r="1242" spans="2:5" x14ac:dyDescent="0.3">
      <c r="B1242" s="10"/>
      <c r="E1242" s="14"/>
    </row>
    <row r="1243" spans="2:5" x14ac:dyDescent="0.3">
      <c r="B1243" s="10"/>
      <c r="E1243" s="14"/>
    </row>
    <row r="1244" spans="2:5" x14ac:dyDescent="0.3">
      <c r="B1244" s="10"/>
      <c r="E1244" s="14"/>
    </row>
    <row r="1245" spans="2:5" x14ac:dyDescent="0.3">
      <c r="B1245" s="10"/>
      <c r="E1245" s="14"/>
    </row>
    <row r="1246" spans="2:5" x14ac:dyDescent="0.3">
      <c r="B1246" s="10"/>
      <c r="E1246" s="14"/>
    </row>
    <row r="1247" spans="2:5" x14ac:dyDescent="0.3">
      <c r="B1247" s="10"/>
      <c r="E1247" s="14"/>
    </row>
    <row r="1248" spans="2:5" x14ac:dyDescent="0.3">
      <c r="B1248" s="10"/>
      <c r="E1248" s="14"/>
    </row>
    <row r="1249" spans="2:5" x14ac:dyDescent="0.3">
      <c r="B1249" s="10"/>
      <c r="E1249" s="14"/>
    </row>
    <row r="1250" spans="2:5" x14ac:dyDescent="0.3">
      <c r="B1250" s="10"/>
      <c r="E1250" s="14"/>
    </row>
    <row r="1251" spans="2:5" x14ac:dyDescent="0.3">
      <c r="B1251" s="10"/>
      <c r="E1251" s="14"/>
    </row>
    <row r="1252" spans="2:5" x14ac:dyDescent="0.3">
      <c r="B1252" s="10"/>
      <c r="E1252" s="14"/>
    </row>
    <row r="1253" spans="2:5" x14ac:dyDescent="0.3">
      <c r="B1253" s="10"/>
      <c r="E1253" s="14"/>
    </row>
    <row r="1254" spans="2:5" x14ac:dyDescent="0.3">
      <c r="B1254" s="10"/>
      <c r="E1254" s="14"/>
    </row>
    <row r="1255" spans="2:5" x14ac:dyDescent="0.3">
      <c r="B1255" s="10"/>
      <c r="E1255" s="14"/>
    </row>
    <row r="1256" spans="2:5" x14ac:dyDescent="0.3">
      <c r="B1256" s="10"/>
      <c r="E1256" s="14"/>
    </row>
    <row r="1257" spans="2:5" x14ac:dyDescent="0.3">
      <c r="B1257" s="10"/>
      <c r="E1257" s="14"/>
    </row>
    <row r="1258" spans="2:5" x14ac:dyDescent="0.3">
      <c r="B1258" s="10"/>
      <c r="E1258" s="14"/>
    </row>
    <row r="1259" spans="2:5" x14ac:dyDescent="0.3">
      <c r="B1259" s="10"/>
      <c r="E1259" s="14"/>
    </row>
    <row r="1260" spans="2:5" x14ac:dyDescent="0.3">
      <c r="B1260" s="10"/>
      <c r="E1260" s="14"/>
    </row>
    <row r="1261" spans="2:5" x14ac:dyDescent="0.3">
      <c r="B1261" s="10"/>
      <c r="E1261" s="14"/>
    </row>
    <row r="1262" spans="2:5" x14ac:dyDescent="0.3">
      <c r="B1262" s="10"/>
      <c r="E1262" s="14"/>
    </row>
    <row r="1263" spans="2:5" x14ac:dyDescent="0.3">
      <c r="B1263" s="10"/>
      <c r="E1263" s="14"/>
    </row>
    <row r="1264" spans="2:5" x14ac:dyDescent="0.3">
      <c r="B1264" s="10"/>
      <c r="E1264" s="14"/>
    </row>
    <row r="1265" spans="2:5" x14ac:dyDescent="0.3">
      <c r="B1265" s="10"/>
      <c r="E1265" s="14"/>
    </row>
    <row r="1266" spans="2:5" x14ac:dyDescent="0.3">
      <c r="B1266" s="10"/>
      <c r="E1266" s="14"/>
    </row>
    <row r="1267" spans="2:5" x14ac:dyDescent="0.3">
      <c r="B1267" s="10"/>
      <c r="E1267" s="14"/>
    </row>
    <row r="1268" spans="2:5" x14ac:dyDescent="0.3">
      <c r="B1268" s="10"/>
      <c r="E1268" s="14"/>
    </row>
    <row r="1269" spans="2:5" x14ac:dyDescent="0.3">
      <c r="B1269" s="10"/>
      <c r="E1269" s="14"/>
    </row>
    <row r="1270" spans="2:5" x14ac:dyDescent="0.3">
      <c r="B1270" s="10"/>
      <c r="E1270" s="14"/>
    </row>
    <row r="1271" spans="2:5" x14ac:dyDescent="0.3">
      <c r="B1271" s="10"/>
      <c r="E1271" s="14"/>
    </row>
    <row r="1272" spans="2:5" x14ac:dyDescent="0.3">
      <c r="B1272" s="10"/>
      <c r="E1272" s="14"/>
    </row>
    <row r="1273" spans="2:5" x14ac:dyDescent="0.3">
      <c r="B1273" s="10"/>
      <c r="E1273" s="14"/>
    </row>
    <row r="1274" spans="2:5" x14ac:dyDescent="0.3">
      <c r="B1274" s="10"/>
      <c r="E1274" s="14"/>
    </row>
    <row r="1275" spans="2:5" x14ac:dyDescent="0.3">
      <c r="B1275" s="10"/>
      <c r="E1275" s="14"/>
    </row>
    <row r="1276" spans="2:5" x14ac:dyDescent="0.3">
      <c r="B1276" s="10"/>
      <c r="E1276" s="14"/>
    </row>
    <row r="1277" spans="2:5" x14ac:dyDescent="0.3">
      <c r="B1277" s="10"/>
      <c r="E1277" s="14"/>
    </row>
    <row r="1278" spans="2:5" x14ac:dyDescent="0.3">
      <c r="B1278" s="10"/>
      <c r="E1278" s="14"/>
    </row>
    <row r="1279" spans="2:5" x14ac:dyDescent="0.3">
      <c r="B1279" s="10"/>
      <c r="E1279" s="14"/>
    </row>
    <row r="1280" spans="2:5" x14ac:dyDescent="0.3">
      <c r="B1280" s="10"/>
      <c r="E1280" s="14"/>
    </row>
    <row r="1281" spans="2:5" x14ac:dyDescent="0.3">
      <c r="B1281" s="10"/>
      <c r="E1281" s="14"/>
    </row>
    <row r="1282" spans="2:5" x14ac:dyDescent="0.3">
      <c r="B1282" s="10"/>
      <c r="E1282" s="14"/>
    </row>
    <row r="1283" spans="2:5" x14ac:dyDescent="0.3">
      <c r="B1283" s="10"/>
      <c r="E1283" s="14"/>
    </row>
    <row r="1284" spans="2:5" x14ac:dyDescent="0.3">
      <c r="B1284" s="10"/>
      <c r="E1284" s="14"/>
    </row>
    <row r="1285" spans="2:5" x14ac:dyDescent="0.3">
      <c r="B1285" s="10"/>
      <c r="E1285" s="14"/>
    </row>
    <row r="1286" spans="2:5" x14ac:dyDescent="0.3">
      <c r="B1286" s="10"/>
      <c r="E1286" s="14"/>
    </row>
    <row r="1287" spans="2:5" x14ac:dyDescent="0.3">
      <c r="B1287" s="10"/>
      <c r="E1287" s="14"/>
    </row>
    <row r="1288" spans="2:5" x14ac:dyDescent="0.3">
      <c r="B1288" s="10"/>
      <c r="E1288" s="14"/>
    </row>
    <row r="1289" spans="2:5" x14ac:dyDescent="0.3">
      <c r="B1289" s="10"/>
      <c r="E1289" s="14"/>
    </row>
    <row r="1290" spans="2:5" x14ac:dyDescent="0.3">
      <c r="B1290" s="10"/>
      <c r="E1290" s="14"/>
    </row>
    <row r="1291" spans="2:5" x14ac:dyDescent="0.3">
      <c r="B1291" s="10"/>
      <c r="E1291" s="14"/>
    </row>
    <row r="1292" spans="2:5" x14ac:dyDescent="0.3">
      <c r="B1292" s="10"/>
      <c r="E1292" s="14"/>
    </row>
    <row r="1293" spans="2:5" x14ac:dyDescent="0.3">
      <c r="B1293" s="10"/>
      <c r="E1293" s="14"/>
    </row>
    <row r="1294" spans="2:5" x14ac:dyDescent="0.3">
      <c r="B1294" s="10"/>
      <c r="E1294" s="14"/>
    </row>
    <row r="1295" spans="2:5" x14ac:dyDescent="0.3">
      <c r="B1295" s="10"/>
      <c r="E1295" s="14"/>
    </row>
    <row r="1296" spans="2:5" x14ac:dyDescent="0.3">
      <c r="B1296" s="10"/>
      <c r="E1296" s="14"/>
    </row>
    <row r="1297" spans="2:5" x14ac:dyDescent="0.3">
      <c r="B1297" s="10"/>
      <c r="E1297" s="14"/>
    </row>
    <row r="1298" spans="2:5" x14ac:dyDescent="0.3">
      <c r="B1298" s="10"/>
      <c r="E1298" s="14"/>
    </row>
    <row r="1299" spans="2:5" x14ac:dyDescent="0.3">
      <c r="B1299" s="10"/>
      <c r="E1299" s="14"/>
    </row>
    <row r="1300" spans="2:5" x14ac:dyDescent="0.3">
      <c r="B1300" s="10"/>
      <c r="E1300" s="14"/>
    </row>
    <row r="1301" spans="2:5" x14ac:dyDescent="0.3">
      <c r="B1301" s="10"/>
      <c r="E1301" s="14"/>
    </row>
    <row r="1302" spans="2:5" x14ac:dyDescent="0.3">
      <c r="B1302" s="10"/>
      <c r="E1302" s="14"/>
    </row>
    <row r="1303" spans="2:5" x14ac:dyDescent="0.3">
      <c r="B1303" s="10"/>
      <c r="E1303" s="14"/>
    </row>
    <row r="1304" spans="2:5" x14ac:dyDescent="0.3">
      <c r="B1304" s="10"/>
      <c r="E1304" s="14"/>
    </row>
    <row r="1305" spans="2:5" x14ac:dyDescent="0.3">
      <c r="B1305" s="10"/>
      <c r="E1305" s="14"/>
    </row>
    <row r="1306" spans="2:5" x14ac:dyDescent="0.3">
      <c r="B1306" s="10"/>
      <c r="E1306" s="14"/>
    </row>
    <row r="1307" spans="2:5" x14ac:dyDescent="0.3">
      <c r="B1307" s="10"/>
      <c r="E1307" s="14"/>
    </row>
    <row r="1308" spans="2:5" x14ac:dyDescent="0.3">
      <c r="B1308" s="10"/>
      <c r="E1308" s="14"/>
    </row>
    <row r="1309" spans="2:5" x14ac:dyDescent="0.3">
      <c r="B1309" s="10"/>
      <c r="E1309" s="14"/>
    </row>
    <row r="1310" spans="2:5" x14ac:dyDescent="0.3">
      <c r="B1310" s="10"/>
      <c r="E1310" s="14"/>
    </row>
    <row r="1311" spans="2:5" x14ac:dyDescent="0.3">
      <c r="B1311" s="10"/>
      <c r="E1311" s="14"/>
    </row>
    <row r="1312" spans="2:5" x14ac:dyDescent="0.3">
      <c r="B1312" s="10"/>
      <c r="E1312" s="14"/>
    </row>
    <row r="1313" spans="2:5" x14ac:dyDescent="0.3">
      <c r="B1313" s="10"/>
      <c r="E1313" s="14"/>
    </row>
    <row r="1314" spans="2:5" x14ac:dyDescent="0.3">
      <c r="B1314" s="10"/>
      <c r="E1314" s="14"/>
    </row>
    <row r="1315" spans="2:5" x14ac:dyDescent="0.3">
      <c r="B1315" s="10"/>
      <c r="E1315" s="14"/>
    </row>
    <row r="1316" spans="2:5" x14ac:dyDescent="0.3">
      <c r="B1316" s="10"/>
      <c r="E1316" s="14"/>
    </row>
    <row r="1317" spans="2:5" x14ac:dyDescent="0.3">
      <c r="B1317" s="10"/>
      <c r="E1317" s="14"/>
    </row>
    <row r="1318" spans="2:5" x14ac:dyDescent="0.3">
      <c r="B1318" s="10"/>
      <c r="E1318" s="14"/>
    </row>
    <row r="1319" spans="2:5" x14ac:dyDescent="0.3">
      <c r="B1319" s="10"/>
      <c r="E1319" s="14"/>
    </row>
    <row r="1320" spans="2:5" x14ac:dyDescent="0.3">
      <c r="B1320" s="10"/>
      <c r="E1320" s="14"/>
    </row>
    <row r="1321" spans="2:5" x14ac:dyDescent="0.3">
      <c r="B1321" s="10"/>
      <c r="E1321" s="14"/>
    </row>
    <row r="1322" spans="2:5" x14ac:dyDescent="0.3">
      <c r="B1322" s="10"/>
      <c r="E1322" s="14"/>
    </row>
    <row r="1323" spans="2:5" x14ac:dyDescent="0.3">
      <c r="B1323" s="10"/>
      <c r="E1323" s="14"/>
    </row>
    <row r="1324" spans="2:5" x14ac:dyDescent="0.3">
      <c r="B1324" s="10"/>
      <c r="E1324" s="14"/>
    </row>
    <row r="1325" spans="2:5" x14ac:dyDescent="0.3">
      <c r="B1325" s="10"/>
      <c r="E1325" s="14"/>
    </row>
    <row r="1326" spans="2:5" x14ac:dyDescent="0.3">
      <c r="B1326" s="10"/>
      <c r="E1326" s="14"/>
    </row>
    <row r="1327" spans="2:5" x14ac:dyDescent="0.3">
      <c r="B1327" s="10"/>
      <c r="E1327" s="14"/>
    </row>
    <row r="1328" spans="2:5" x14ac:dyDescent="0.3">
      <c r="B1328" s="10"/>
      <c r="E1328" s="14"/>
    </row>
    <row r="1329" spans="2:5" x14ac:dyDescent="0.3">
      <c r="B1329" s="10"/>
      <c r="E1329" s="14"/>
    </row>
    <row r="1330" spans="2:5" x14ac:dyDescent="0.3">
      <c r="B1330" s="10"/>
      <c r="E1330" s="14"/>
    </row>
    <row r="1331" spans="2:5" x14ac:dyDescent="0.3">
      <c r="B1331" s="10"/>
      <c r="E1331" s="14"/>
    </row>
    <row r="1332" spans="2:5" x14ac:dyDescent="0.3">
      <c r="B1332" s="10"/>
      <c r="E1332" s="14"/>
    </row>
    <row r="1333" spans="2:5" x14ac:dyDescent="0.3">
      <c r="B1333" s="10"/>
      <c r="E1333" s="14"/>
    </row>
    <row r="1334" spans="2:5" x14ac:dyDescent="0.3">
      <c r="B1334" s="10"/>
      <c r="E1334" s="14"/>
    </row>
    <row r="1335" spans="2:5" x14ac:dyDescent="0.3">
      <c r="B1335" s="10"/>
      <c r="E1335" s="14"/>
    </row>
    <row r="1336" spans="2:5" x14ac:dyDescent="0.3">
      <c r="B1336" s="10"/>
      <c r="E1336" s="14"/>
    </row>
    <row r="1337" spans="2:5" x14ac:dyDescent="0.3">
      <c r="B1337" s="10"/>
      <c r="E1337" s="14"/>
    </row>
    <row r="1338" spans="2:5" x14ac:dyDescent="0.3">
      <c r="B1338" s="10"/>
      <c r="E1338" s="14"/>
    </row>
    <row r="1339" spans="2:5" x14ac:dyDescent="0.3">
      <c r="B1339" s="10"/>
      <c r="E1339" s="14"/>
    </row>
    <row r="1340" spans="2:5" x14ac:dyDescent="0.3">
      <c r="B1340" s="10"/>
      <c r="E1340" s="14"/>
    </row>
    <row r="1341" spans="2:5" x14ac:dyDescent="0.3">
      <c r="B1341" s="10"/>
      <c r="E1341" s="14"/>
    </row>
    <row r="1342" spans="2:5" x14ac:dyDescent="0.3">
      <c r="B1342" s="10"/>
      <c r="E1342" s="14"/>
    </row>
    <row r="1343" spans="2:5" x14ac:dyDescent="0.3">
      <c r="B1343" s="10"/>
      <c r="E1343" s="14"/>
    </row>
    <row r="1344" spans="2:5" x14ac:dyDescent="0.3">
      <c r="B1344" s="10"/>
      <c r="E1344" s="14"/>
    </row>
    <row r="1345" spans="2:5" x14ac:dyDescent="0.3">
      <c r="B1345" s="10"/>
      <c r="E1345" s="14"/>
    </row>
    <row r="1346" spans="2:5" x14ac:dyDescent="0.3">
      <c r="B1346" s="10"/>
      <c r="E1346" s="14"/>
    </row>
    <row r="1347" spans="2:5" x14ac:dyDescent="0.3">
      <c r="B1347" s="10"/>
      <c r="E1347" s="14"/>
    </row>
    <row r="1348" spans="2:5" x14ac:dyDescent="0.3">
      <c r="B1348" s="10"/>
      <c r="E1348" s="14"/>
    </row>
    <row r="1349" spans="2:5" x14ac:dyDescent="0.3">
      <c r="B1349" s="10"/>
      <c r="E1349" s="14"/>
    </row>
    <row r="1350" spans="2:5" x14ac:dyDescent="0.3">
      <c r="B1350" s="10"/>
      <c r="E1350" s="14"/>
    </row>
    <row r="1351" spans="2:5" x14ac:dyDescent="0.3">
      <c r="B1351" s="10"/>
      <c r="E1351" s="14"/>
    </row>
    <row r="1352" spans="2:5" x14ac:dyDescent="0.3">
      <c r="B1352" s="10"/>
      <c r="E1352" s="14"/>
    </row>
    <row r="1353" spans="2:5" x14ac:dyDescent="0.3">
      <c r="B1353" s="10"/>
      <c r="E1353" s="14"/>
    </row>
    <row r="1354" spans="2:5" x14ac:dyDescent="0.3">
      <c r="B1354" s="10"/>
      <c r="E1354" s="14"/>
    </row>
    <row r="1355" spans="2:5" x14ac:dyDescent="0.3">
      <c r="B1355" s="10"/>
      <c r="E1355" s="14"/>
    </row>
    <row r="1356" spans="2:5" x14ac:dyDescent="0.3">
      <c r="B1356" s="10"/>
      <c r="E1356" s="14"/>
    </row>
    <row r="1357" spans="2:5" x14ac:dyDescent="0.3">
      <c r="B1357" s="10"/>
      <c r="E1357" s="14"/>
    </row>
    <row r="1358" spans="2:5" x14ac:dyDescent="0.3">
      <c r="B1358" s="10"/>
      <c r="E1358" s="14"/>
    </row>
    <row r="1359" spans="2:5" x14ac:dyDescent="0.3">
      <c r="B1359" s="10"/>
      <c r="E1359" s="14"/>
    </row>
    <row r="1360" spans="2:5" x14ac:dyDescent="0.3">
      <c r="B1360" s="10"/>
      <c r="E1360" s="14"/>
    </row>
    <row r="1361" spans="2:5" x14ac:dyDescent="0.3">
      <c r="B1361" s="10"/>
      <c r="E1361" s="14"/>
    </row>
    <row r="1362" spans="2:5" x14ac:dyDescent="0.3">
      <c r="B1362" s="10"/>
      <c r="E1362" s="14"/>
    </row>
    <row r="1363" spans="2:5" x14ac:dyDescent="0.3">
      <c r="B1363" s="10"/>
      <c r="E1363" s="14"/>
    </row>
    <row r="1364" spans="2:5" x14ac:dyDescent="0.3">
      <c r="B1364" s="10"/>
      <c r="E1364" s="14"/>
    </row>
    <row r="1365" spans="2:5" x14ac:dyDescent="0.3">
      <c r="B1365" s="10"/>
      <c r="E1365" s="14"/>
    </row>
    <row r="1366" spans="2:5" x14ac:dyDescent="0.3">
      <c r="B1366" s="10"/>
      <c r="E1366" s="14"/>
    </row>
    <row r="1367" spans="2:5" x14ac:dyDescent="0.3">
      <c r="B1367" s="10"/>
      <c r="E1367" s="14"/>
    </row>
    <row r="1368" spans="2:5" x14ac:dyDescent="0.3">
      <c r="B1368" s="10"/>
      <c r="E1368" s="14"/>
    </row>
    <row r="1369" spans="2:5" x14ac:dyDescent="0.3">
      <c r="B1369" s="10"/>
      <c r="E1369" s="14"/>
    </row>
    <row r="1370" spans="2:5" x14ac:dyDescent="0.3">
      <c r="B1370" s="10"/>
      <c r="E1370" s="14"/>
    </row>
    <row r="1371" spans="2:5" x14ac:dyDescent="0.3">
      <c r="B1371" s="10"/>
      <c r="E1371" s="14"/>
    </row>
    <row r="1372" spans="2:5" x14ac:dyDescent="0.3">
      <c r="B1372" s="10"/>
      <c r="E1372" s="14"/>
    </row>
    <row r="1373" spans="2:5" x14ac:dyDescent="0.3">
      <c r="B1373" s="10"/>
      <c r="E1373" s="14"/>
    </row>
    <row r="1374" spans="2:5" x14ac:dyDescent="0.3">
      <c r="B1374" s="10"/>
      <c r="E1374" s="14"/>
    </row>
    <row r="1375" spans="2:5" x14ac:dyDescent="0.3">
      <c r="B1375" s="10"/>
      <c r="E1375" s="14"/>
    </row>
    <row r="1376" spans="2:5" x14ac:dyDescent="0.3">
      <c r="B1376" s="10"/>
      <c r="E1376" s="14"/>
    </row>
    <row r="1377" spans="2:5" x14ac:dyDescent="0.3">
      <c r="B1377" s="10"/>
      <c r="E1377" s="14"/>
    </row>
    <row r="1378" spans="2:5" x14ac:dyDescent="0.3">
      <c r="B1378" s="10"/>
      <c r="E1378" s="14"/>
    </row>
    <row r="1379" spans="2:5" x14ac:dyDescent="0.3">
      <c r="B1379" s="10"/>
      <c r="E1379" s="14"/>
    </row>
    <row r="1380" spans="2:5" x14ac:dyDescent="0.3">
      <c r="B1380" s="10"/>
      <c r="E1380" s="14"/>
    </row>
    <row r="1381" spans="2:5" x14ac:dyDescent="0.3">
      <c r="B1381" s="10"/>
      <c r="E1381" s="14"/>
    </row>
    <row r="1382" spans="2:5" x14ac:dyDescent="0.3">
      <c r="B1382" s="10"/>
      <c r="E1382" s="14"/>
    </row>
    <row r="1383" spans="2:5" x14ac:dyDescent="0.3">
      <c r="B1383" s="10"/>
      <c r="E1383" s="14"/>
    </row>
    <row r="1384" spans="2:5" x14ac:dyDescent="0.3">
      <c r="B1384" s="10"/>
      <c r="E1384" s="14"/>
    </row>
    <row r="1385" spans="2:5" x14ac:dyDescent="0.3">
      <c r="B1385" s="10"/>
      <c r="E1385" s="14"/>
    </row>
    <row r="1386" spans="2:5" x14ac:dyDescent="0.3">
      <c r="B1386" s="10"/>
      <c r="E1386" s="14"/>
    </row>
    <row r="1387" spans="2:5" x14ac:dyDescent="0.3">
      <c r="B1387" s="10"/>
      <c r="E1387" s="14"/>
    </row>
    <row r="1388" spans="2:5" x14ac:dyDescent="0.3">
      <c r="B1388" s="10"/>
      <c r="E1388" s="14"/>
    </row>
    <row r="1389" spans="2:5" x14ac:dyDescent="0.3">
      <c r="B1389" s="10"/>
      <c r="E1389" s="14"/>
    </row>
    <row r="1390" spans="2:5" x14ac:dyDescent="0.3">
      <c r="B1390" s="10"/>
      <c r="E1390" s="14"/>
    </row>
    <row r="1391" spans="2:5" x14ac:dyDescent="0.3">
      <c r="B1391" s="10"/>
      <c r="E1391" s="14"/>
    </row>
    <row r="1392" spans="2:5" x14ac:dyDescent="0.3">
      <c r="B1392" s="10"/>
      <c r="E1392" s="14"/>
    </row>
    <row r="1393" spans="2:5" x14ac:dyDescent="0.3">
      <c r="B1393" s="10"/>
      <c r="E1393" s="14"/>
    </row>
    <row r="1394" spans="2:5" x14ac:dyDescent="0.3">
      <c r="B1394" s="10"/>
      <c r="E1394" s="14"/>
    </row>
    <row r="1395" spans="2:5" x14ac:dyDescent="0.3">
      <c r="B1395" s="10"/>
      <c r="E1395" s="14"/>
    </row>
    <row r="1396" spans="2:5" x14ac:dyDescent="0.3">
      <c r="B1396" s="10"/>
      <c r="E1396" s="14"/>
    </row>
    <row r="1397" spans="2:5" x14ac:dyDescent="0.3">
      <c r="B1397" s="10"/>
      <c r="E1397" s="14"/>
    </row>
    <row r="1398" spans="2:5" x14ac:dyDescent="0.3">
      <c r="B1398" s="10"/>
      <c r="E1398" s="14"/>
    </row>
    <row r="1399" spans="2:5" x14ac:dyDescent="0.3">
      <c r="B1399" s="10"/>
      <c r="E1399" s="14"/>
    </row>
    <row r="1400" spans="2:5" x14ac:dyDescent="0.3">
      <c r="B1400" s="10"/>
      <c r="E1400" s="14"/>
    </row>
    <row r="1401" spans="2:5" x14ac:dyDescent="0.3">
      <c r="B1401" s="10"/>
      <c r="E1401" s="14"/>
    </row>
    <row r="1402" spans="2:5" x14ac:dyDescent="0.3">
      <c r="B1402" s="10"/>
      <c r="E1402" s="14"/>
    </row>
    <row r="1403" spans="2:5" x14ac:dyDescent="0.3">
      <c r="B1403" s="10"/>
      <c r="E1403" s="14"/>
    </row>
    <row r="1404" spans="2:5" x14ac:dyDescent="0.3">
      <c r="B1404" s="10"/>
      <c r="E1404" s="14"/>
    </row>
    <row r="1405" spans="2:5" x14ac:dyDescent="0.3">
      <c r="B1405" s="10"/>
      <c r="E1405" s="14"/>
    </row>
    <row r="1406" spans="2:5" x14ac:dyDescent="0.3">
      <c r="B1406" s="10"/>
      <c r="E1406" s="14"/>
    </row>
    <row r="1407" spans="2:5" x14ac:dyDescent="0.3">
      <c r="B1407" s="10"/>
      <c r="E1407" s="14"/>
    </row>
    <row r="1408" spans="2:5" x14ac:dyDescent="0.3">
      <c r="B1408" s="10"/>
      <c r="E1408" s="14"/>
    </row>
    <row r="1409" spans="2:5" x14ac:dyDescent="0.3">
      <c r="B1409" s="10"/>
      <c r="E1409" s="14"/>
    </row>
    <row r="1410" spans="2:5" x14ac:dyDescent="0.3">
      <c r="B1410" s="10"/>
      <c r="E1410" s="14"/>
    </row>
    <row r="1411" spans="2:5" x14ac:dyDescent="0.3">
      <c r="B1411" s="10"/>
      <c r="E1411" s="14"/>
    </row>
    <row r="1412" spans="2:5" x14ac:dyDescent="0.3">
      <c r="B1412" s="10"/>
      <c r="E1412" s="14"/>
    </row>
    <row r="1413" spans="2:5" x14ac:dyDescent="0.3">
      <c r="B1413" s="10"/>
      <c r="E1413" s="14"/>
    </row>
    <row r="1414" spans="2:5" x14ac:dyDescent="0.3">
      <c r="B1414" s="10"/>
      <c r="E1414" s="14"/>
    </row>
    <row r="1415" spans="2:5" x14ac:dyDescent="0.3">
      <c r="B1415" s="10"/>
      <c r="E1415" s="14"/>
    </row>
    <row r="1416" spans="2:5" x14ac:dyDescent="0.3">
      <c r="B1416" s="10"/>
      <c r="E1416" s="14"/>
    </row>
    <row r="1417" spans="2:5" x14ac:dyDescent="0.3">
      <c r="B1417" s="10"/>
      <c r="E1417" s="14"/>
    </row>
    <row r="1418" spans="2:5" x14ac:dyDescent="0.3">
      <c r="B1418" s="10"/>
      <c r="E1418" s="14"/>
    </row>
    <row r="1419" spans="2:5" x14ac:dyDescent="0.3">
      <c r="B1419" s="10"/>
      <c r="E1419" s="14"/>
    </row>
    <row r="1420" spans="2:5" x14ac:dyDescent="0.3">
      <c r="B1420" s="10"/>
      <c r="E1420" s="14"/>
    </row>
    <row r="1421" spans="2:5" x14ac:dyDescent="0.3">
      <c r="B1421" s="10"/>
      <c r="E1421" s="14"/>
    </row>
    <row r="1422" spans="2:5" x14ac:dyDescent="0.3">
      <c r="B1422" s="10"/>
      <c r="E1422" s="14"/>
    </row>
    <row r="1423" spans="2:5" x14ac:dyDescent="0.3">
      <c r="B1423" s="10"/>
      <c r="E1423" s="14"/>
    </row>
    <row r="1424" spans="2:5" x14ac:dyDescent="0.3">
      <c r="B1424" s="10"/>
      <c r="E1424" s="14"/>
    </row>
    <row r="1425" spans="2:5" x14ac:dyDescent="0.3">
      <c r="B1425" s="10"/>
      <c r="E1425" s="14"/>
    </row>
    <row r="1426" spans="2:5" x14ac:dyDescent="0.3">
      <c r="B1426" s="10"/>
      <c r="E1426" s="14"/>
    </row>
    <row r="1427" spans="2:5" x14ac:dyDescent="0.3">
      <c r="B1427" s="10"/>
      <c r="E1427" s="14"/>
    </row>
    <row r="1428" spans="2:5" x14ac:dyDescent="0.3">
      <c r="B1428" s="10"/>
      <c r="E1428" s="14"/>
    </row>
    <row r="1429" spans="2:5" x14ac:dyDescent="0.3">
      <c r="B1429" s="10"/>
      <c r="E1429" s="14"/>
    </row>
    <row r="1430" spans="2:5" x14ac:dyDescent="0.3">
      <c r="B1430" s="10"/>
      <c r="E1430" s="14"/>
    </row>
    <row r="1431" spans="2:5" x14ac:dyDescent="0.3">
      <c r="B1431" s="10"/>
      <c r="E1431" s="14"/>
    </row>
    <row r="1432" spans="2:5" x14ac:dyDescent="0.3">
      <c r="B1432" s="10"/>
      <c r="E1432" s="14"/>
    </row>
    <row r="1433" spans="2:5" x14ac:dyDescent="0.3">
      <c r="B1433" s="10"/>
      <c r="E1433" s="14"/>
    </row>
    <row r="1434" spans="2:5" x14ac:dyDescent="0.3">
      <c r="B1434" s="10"/>
      <c r="E1434" s="14"/>
    </row>
    <row r="1435" spans="2:5" x14ac:dyDescent="0.3">
      <c r="B1435" s="10"/>
      <c r="E1435" s="14"/>
    </row>
    <row r="1436" spans="2:5" x14ac:dyDescent="0.3">
      <c r="B1436" s="10"/>
      <c r="E1436" s="14"/>
    </row>
    <row r="1437" spans="2:5" x14ac:dyDescent="0.3">
      <c r="B1437" s="10"/>
      <c r="E1437" s="14"/>
    </row>
    <row r="1438" spans="2:5" x14ac:dyDescent="0.3">
      <c r="B1438" s="10"/>
      <c r="E1438" s="14"/>
    </row>
    <row r="1439" spans="2:5" x14ac:dyDescent="0.3">
      <c r="B1439" s="10"/>
      <c r="E1439" s="14"/>
    </row>
    <row r="1440" spans="2:5" x14ac:dyDescent="0.3">
      <c r="B1440" s="10"/>
      <c r="E1440" s="14"/>
    </row>
    <row r="1441" spans="2:5" x14ac:dyDescent="0.3">
      <c r="B1441" s="10"/>
      <c r="E1441" s="14"/>
    </row>
    <row r="1442" spans="2:5" x14ac:dyDescent="0.3">
      <c r="B1442" s="10"/>
      <c r="E1442" s="14"/>
    </row>
    <row r="1443" spans="2:5" x14ac:dyDescent="0.3">
      <c r="B1443" s="10"/>
      <c r="E1443" s="14"/>
    </row>
    <row r="1444" spans="2:5" x14ac:dyDescent="0.3">
      <c r="B1444" s="10"/>
      <c r="E1444" s="14"/>
    </row>
    <row r="1445" spans="2:5" x14ac:dyDescent="0.3">
      <c r="B1445" s="10"/>
      <c r="E1445" s="14"/>
    </row>
    <row r="1446" spans="2:5" x14ac:dyDescent="0.3">
      <c r="B1446" s="10"/>
      <c r="E1446" s="14"/>
    </row>
    <row r="1447" spans="2:5" x14ac:dyDescent="0.3">
      <c r="B1447" s="10"/>
      <c r="E1447" s="14"/>
    </row>
    <row r="1448" spans="2:5" x14ac:dyDescent="0.3">
      <c r="B1448" s="10"/>
      <c r="E1448" s="14"/>
    </row>
    <row r="1449" spans="2:5" x14ac:dyDescent="0.3">
      <c r="B1449" s="10"/>
      <c r="E1449" s="14"/>
    </row>
    <row r="1450" spans="2:5" x14ac:dyDescent="0.3">
      <c r="B1450" s="10"/>
      <c r="E1450" s="14"/>
    </row>
    <row r="1451" spans="2:5" x14ac:dyDescent="0.3">
      <c r="B1451" s="10"/>
      <c r="E1451" s="14"/>
    </row>
    <row r="1452" spans="2:5" x14ac:dyDescent="0.3">
      <c r="B1452" s="10"/>
      <c r="E1452" s="14"/>
    </row>
    <row r="1453" spans="2:5" x14ac:dyDescent="0.3">
      <c r="B1453" s="10"/>
      <c r="E1453" s="14"/>
    </row>
    <row r="1454" spans="2:5" x14ac:dyDescent="0.3">
      <c r="B1454" s="10"/>
      <c r="E1454" s="14"/>
    </row>
    <row r="1455" spans="2:5" x14ac:dyDescent="0.3">
      <c r="B1455" s="10"/>
      <c r="E1455" s="14"/>
    </row>
    <row r="1456" spans="2:5" x14ac:dyDescent="0.3">
      <c r="B1456" s="10"/>
      <c r="E1456" s="14"/>
    </row>
    <row r="1457" spans="2:5" x14ac:dyDescent="0.3">
      <c r="B1457" s="10"/>
      <c r="E1457" s="14"/>
    </row>
    <row r="1458" spans="2:5" x14ac:dyDescent="0.3">
      <c r="B1458" s="10"/>
      <c r="E1458" s="14"/>
    </row>
    <row r="1459" spans="2:5" x14ac:dyDescent="0.3">
      <c r="B1459" s="10"/>
      <c r="E1459" s="14"/>
    </row>
    <row r="1460" spans="2:5" x14ac:dyDescent="0.3">
      <c r="B1460" s="10"/>
      <c r="E1460" s="14"/>
    </row>
    <row r="1461" spans="2:5" x14ac:dyDescent="0.3">
      <c r="B1461" s="10"/>
      <c r="E1461" s="14"/>
    </row>
    <row r="1462" spans="2:5" x14ac:dyDescent="0.3">
      <c r="B1462" s="10"/>
      <c r="E1462" s="14"/>
    </row>
    <row r="1463" spans="2:5" x14ac:dyDescent="0.3">
      <c r="B1463" s="10"/>
      <c r="E1463" s="14"/>
    </row>
    <row r="1464" spans="2:5" x14ac:dyDescent="0.3">
      <c r="B1464" s="10"/>
      <c r="E1464" s="14"/>
    </row>
    <row r="1465" spans="2:5" x14ac:dyDescent="0.3">
      <c r="B1465" s="10"/>
      <c r="E1465" s="14"/>
    </row>
    <row r="1466" spans="2:5" x14ac:dyDescent="0.3">
      <c r="B1466" s="10"/>
      <c r="E1466" s="14"/>
    </row>
    <row r="1467" spans="2:5" x14ac:dyDescent="0.3">
      <c r="B1467" s="10"/>
      <c r="E1467" s="14"/>
    </row>
    <row r="1468" spans="2:5" x14ac:dyDescent="0.3">
      <c r="B1468" s="10"/>
      <c r="E1468" s="14"/>
    </row>
    <row r="1469" spans="2:5" x14ac:dyDescent="0.3">
      <c r="B1469" s="10"/>
      <c r="E1469" s="14"/>
    </row>
    <row r="1470" spans="2:5" x14ac:dyDescent="0.3">
      <c r="B1470" s="10"/>
      <c r="E1470" s="14"/>
    </row>
    <row r="1471" spans="2:5" x14ac:dyDescent="0.3">
      <c r="B1471" s="10"/>
      <c r="E1471" s="14"/>
    </row>
    <row r="1472" spans="2:5" x14ac:dyDescent="0.3">
      <c r="B1472" s="10"/>
      <c r="E1472" s="14"/>
    </row>
    <row r="1473" spans="2:5" x14ac:dyDescent="0.3">
      <c r="B1473" s="10"/>
      <c r="E1473" s="14"/>
    </row>
    <row r="1474" spans="2:5" x14ac:dyDescent="0.3">
      <c r="B1474" s="10"/>
      <c r="E1474" s="14"/>
    </row>
    <row r="1475" spans="2:5" x14ac:dyDescent="0.3">
      <c r="B1475" s="10"/>
      <c r="E1475" s="14"/>
    </row>
    <row r="1476" spans="2:5" x14ac:dyDescent="0.3">
      <c r="B1476" s="10"/>
      <c r="E1476" s="14"/>
    </row>
    <row r="1477" spans="2:5" x14ac:dyDescent="0.3">
      <c r="B1477" s="10"/>
      <c r="E1477" s="14"/>
    </row>
    <row r="1478" spans="2:5" x14ac:dyDescent="0.3">
      <c r="B1478" s="10"/>
      <c r="E1478" s="14"/>
    </row>
    <row r="1479" spans="2:5" x14ac:dyDescent="0.3">
      <c r="B1479" s="10"/>
      <c r="E1479" s="14"/>
    </row>
    <row r="1480" spans="2:5" x14ac:dyDescent="0.3">
      <c r="B1480" s="10"/>
      <c r="E1480" s="14"/>
    </row>
    <row r="1481" spans="2:5" x14ac:dyDescent="0.3">
      <c r="B1481" s="10"/>
      <c r="E1481" s="14"/>
    </row>
    <row r="1482" spans="2:5" x14ac:dyDescent="0.3">
      <c r="B1482" s="10"/>
      <c r="E1482" s="14"/>
    </row>
    <row r="1483" spans="2:5" x14ac:dyDescent="0.3">
      <c r="B1483" s="10"/>
      <c r="E1483" s="14"/>
    </row>
    <row r="1484" spans="2:5" x14ac:dyDescent="0.3">
      <c r="B1484" s="10"/>
      <c r="E1484" s="14"/>
    </row>
    <row r="1485" spans="2:5" x14ac:dyDescent="0.3">
      <c r="B1485" s="10"/>
      <c r="E1485" s="14"/>
    </row>
    <row r="1486" spans="2:5" x14ac:dyDescent="0.3">
      <c r="B1486" s="10"/>
      <c r="E1486" s="14"/>
    </row>
    <row r="1487" spans="2:5" x14ac:dyDescent="0.3">
      <c r="B1487" s="10"/>
      <c r="E1487" s="14"/>
    </row>
    <row r="1488" spans="2:5" x14ac:dyDescent="0.3">
      <c r="B1488" s="10"/>
      <c r="E1488" s="14"/>
    </row>
    <row r="1489" spans="2:5" x14ac:dyDescent="0.3">
      <c r="B1489" s="10"/>
      <c r="E1489" s="14"/>
    </row>
    <row r="1490" spans="2:5" x14ac:dyDescent="0.3">
      <c r="B1490" s="10"/>
      <c r="E1490" s="14"/>
    </row>
    <row r="1491" spans="2:5" x14ac:dyDescent="0.3">
      <c r="B1491" s="10"/>
      <c r="E1491" s="14"/>
    </row>
    <row r="1492" spans="2:5" x14ac:dyDescent="0.3">
      <c r="B1492" s="10"/>
      <c r="E1492" s="14"/>
    </row>
    <row r="1493" spans="2:5" x14ac:dyDescent="0.3">
      <c r="B1493" s="10"/>
      <c r="E1493" s="14"/>
    </row>
    <row r="1494" spans="2:5" x14ac:dyDescent="0.3">
      <c r="B1494" s="10"/>
      <c r="E1494" s="14"/>
    </row>
    <row r="1495" spans="2:5" x14ac:dyDescent="0.3">
      <c r="B1495" s="10"/>
      <c r="E1495" s="14"/>
    </row>
    <row r="1496" spans="2:5" x14ac:dyDescent="0.3">
      <c r="B1496" s="10"/>
      <c r="E1496" s="14"/>
    </row>
    <row r="1497" spans="2:5" x14ac:dyDescent="0.3">
      <c r="B1497" s="10"/>
      <c r="E1497" s="14"/>
    </row>
    <row r="1498" spans="2:5" x14ac:dyDescent="0.3">
      <c r="B1498" s="10"/>
      <c r="E1498" s="14"/>
    </row>
    <row r="1499" spans="2:5" x14ac:dyDescent="0.3">
      <c r="B1499" s="10"/>
      <c r="E1499" s="14"/>
    </row>
    <row r="1500" spans="2:5" x14ac:dyDescent="0.3">
      <c r="B1500" s="10"/>
      <c r="E1500" s="14"/>
    </row>
    <row r="1501" spans="2:5" x14ac:dyDescent="0.3">
      <c r="B1501" s="10"/>
      <c r="E1501" s="14"/>
    </row>
    <row r="1502" spans="2:5" x14ac:dyDescent="0.3">
      <c r="B1502" s="10"/>
      <c r="E1502" s="14"/>
    </row>
    <row r="1503" spans="2:5" x14ac:dyDescent="0.3">
      <c r="B1503" s="10"/>
      <c r="E1503" s="14"/>
    </row>
    <row r="1504" spans="2:5" x14ac:dyDescent="0.3">
      <c r="B1504" s="10"/>
      <c r="E1504" s="14"/>
    </row>
    <row r="1505" spans="2:5" x14ac:dyDescent="0.3">
      <c r="B1505" s="10"/>
      <c r="E1505" s="14"/>
    </row>
    <row r="1506" spans="2:5" x14ac:dyDescent="0.3">
      <c r="B1506" s="10"/>
      <c r="E1506" s="14"/>
    </row>
    <row r="1507" spans="2:5" x14ac:dyDescent="0.3">
      <c r="B1507" s="10"/>
      <c r="E1507" s="14"/>
    </row>
    <row r="1508" spans="2:5" x14ac:dyDescent="0.3">
      <c r="B1508" s="10"/>
      <c r="E1508" s="14"/>
    </row>
    <row r="1509" spans="2:5" x14ac:dyDescent="0.3">
      <c r="B1509" s="10"/>
      <c r="E1509" s="14"/>
    </row>
    <row r="1510" spans="2:5" x14ac:dyDescent="0.3">
      <c r="B1510" s="10"/>
      <c r="E1510" s="14"/>
    </row>
    <row r="1511" spans="2:5" x14ac:dyDescent="0.3">
      <c r="B1511" s="10"/>
      <c r="E1511" s="14"/>
    </row>
    <row r="1512" spans="2:5" x14ac:dyDescent="0.3">
      <c r="B1512" s="10"/>
      <c r="E1512" s="14"/>
    </row>
    <row r="1513" spans="2:5" x14ac:dyDescent="0.3">
      <c r="B1513" s="10"/>
      <c r="E1513" s="14"/>
    </row>
    <row r="1514" spans="2:5" x14ac:dyDescent="0.3">
      <c r="B1514" s="10"/>
      <c r="E1514" s="14"/>
    </row>
    <row r="1515" spans="2:5" x14ac:dyDescent="0.3">
      <c r="B1515" s="10"/>
      <c r="E1515" s="14"/>
    </row>
    <row r="1516" spans="2:5" x14ac:dyDescent="0.3">
      <c r="B1516" s="10"/>
      <c r="E1516" s="14"/>
    </row>
    <row r="1517" spans="2:5" x14ac:dyDescent="0.3">
      <c r="B1517" s="10"/>
      <c r="E1517" s="14"/>
    </row>
    <row r="1518" spans="2:5" x14ac:dyDescent="0.3">
      <c r="B1518" s="10"/>
      <c r="E1518" s="14"/>
    </row>
    <row r="1519" spans="2:5" x14ac:dyDescent="0.3">
      <c r="B1519" s="10"/>
      <c r="E1519" s="14"/>
    </row>
    <row r="1520" spans="2:5" x14ac:dyDescent="0.3">
      <c r="B1520" s="10"/>
      <c r="E1520" s="14"/>
    </row>
    <row r="1521" spans="2:5" x14ac:dyDescent="0.3">
      <c r="B1521" s="10"/>
      <c r="E1521" s="14"/>
    </row>
    <row r="1522" spans="2:5" x14ac:dyDescent="0.3">
      <c r="B1522" s="10"/>
      <c r="E1522" s="14"/>
    </row>
    <row r="1523" spans="2:5" x14ac:dyDescent="0.3">
      <c r="B1523" s="10"/>
      <c r="E1523" s="14"/>
    </row>
    <row r="1524" spans="2:5" x14ac:dyDescent="0.3">
      <c r="B1524" s="10"/>
      <c r="E1524" s="14"/>
    </row>
    <row r="1525" spans="2:5" x14ac:dyDescent="0.3">
      <c r="B1525" s="10"/>
      <c r="E1525" s="14"/>
    </row>
    <row r="1526" spans="2:5" x14ac:dyDescent="0.3">
      <c r="B1526" s="10"/>
      <c r="E1526" s="14"/>
    </row>
    <row r="1527" spans="2:5" x14ac:dyDescent="0.3">
      <c r="B1527" s="10"/>
      <c r="E1527" s="14"/>
    </row>
    <row r="1528" spans="2:5" x14ac:dyDescent="0.3">
      <c r="B1528" s="10"/>
      <c r="E1528" s="14"/>
    </row>
    <row r="1529" spans="2:5" x14ac:dyDescent="0.3">
      <c r="B1529" s="10"/>
      <c r="E1529" s="14"/>
    </row>
    <row r="1530" spans="2:5" x14ac:dyDescent="0.3">
      <c r="B1530" s="10"/>
      <c r="E1530" s="14"/>
    </row>
    <row r="1531" spans="2:5" x14ac:dyDescent="0.3">
      <c r="B1531" s="10"/>
      <c r="E1531" s="14"/>
    </row>
    <row r="1532" spans="2:5" x14ac:dyDescent="0.3">
      <c r="B1532" s="10"/>
      <c r="E1532" s="14"/>
    </row>
    <row r="1533" spans="2:5" x14ac:dyDescent="0.3">
      <c r="B1533" s="10"/>
      <c r="E1533" s="14"/>
    </row>
    <row r="1534" spans="2:5" x14ac:dyDescent="0.3">
      <c r="B1534" s="10"/>
      <c r="E1534" s="14"/>
    </row>
    <row r="1535" spans="2:5" x14ac:dyDescent="0.3">
      <c r="B1535" s="10"/>
      <c r="E1535" s="14"/>
    </row>
    <row r="1536" spans="2:5" x14ac:dyDescent="0.3">
      <c r="B1536" s="10"/>
      <c r="E1536" s="14"/>
    </row>
    <row r="1537" spans="2:5" x14ac:dyDescent="0.3">
      <c r="B1537" s="10"/>
      <c r="E1537" s="14"/>
    </row>
    <row r="1538" spans="2:5" x14ac:dyDescent="0.3">
      <c r="B1538" s="10"/>
      <c r="E1538" s="14"/>
    </row>
    <row r="1539" spans="2:5" x14ac:dyDescent="0.3">
      <c r="B1539" s="10"/>
      <c r="E1539" s="14"/>
    </row>
    <row r="1540" spans="2:5" x14ac:dyDescent="0.3">
      <c r="B1540" s="10"/>
      <c r="E1540" s="14"/>
    </row>
    <row r="1541" spans="2:5" x14ac:dyDescent="0.3">
      <c r="B1541" s="10"/>
      <c r="E1541" s="14"/>
    </row>
    <row r="1542" spans="2:5" x14ac:dyDescent="0.3">
      <c r="B1542" s="10"/>
      <c r="E1542" s="14"/>
    </row>
    <row r="1543" spans="2:5" x14ac:dyDescent="0.3">
      <c r="B1543" s="10"/>
      <c r="E1543" s="14"/>
    </row>
    <row r="1544" spans="2:5" x14ac:dyDescent="0.3">
      <c r="B1544" s="10"/>
      <c r="E1544" s="14"/>
    </row>
    <row r="1545" spans="2:5" x14ac:dyDescent="0.3">
      <c r="B1545" s="10"/>
      <c r="E1545" s="14"/>
    </row>
    <row r="1546" spans="2:5" x14ac:dyDescent="0.3">
      <c r="B1546" s="10"/>
      <c r="E1546" s="14"/>
    </row>
    <row r="1547" spans="2:5" x14ac:dyDescent="0.3">
      <c r="B1547" s="10"/>
      <c r="E1547" s="14"/>
    </row>
    <row r="1548" spans="2:5" x14ac:dyDescent="0.3">
      <c r="B1548" s="10"/>
      <c r="E1548" s="14"/>
    </row>
    <row r="1549" spans="2:5" x14ac:dyDescent="0.3">
      <c r="B1549" s="10"/>
      <c r="E1549" s="14"/>
    </row>
    <row r="1550" spans="2:5" x14ac:dyDescent="0.3">
      <c r="B1550" s="10"/>
      <c r="E1550" s="14"/>
    </row>
    <row r="1551" spans="2:5" x14ac:dyDescent="0.3">
      <c r="B1551" s="10"/>
      <c r="E1551" s="14"/>
    </row>
    <row r="1552" spans="2:5" x14ac:dyDescent="0.3">
      <c r="B1552" s="10"/>
      <c r="E1552" s="14"/>
    </row>
    <row r="1553" spans="2:5" x14ac:dyDescent="0.3">
      <c r="B1553" s="10"/>
      <c r="E1553" s="14"/>
    </row>
    <row r="1554" spans="2:5" x14ac:dyDescent="0.3">
      <c r="B1554" s="10"/>
      <c r="E1554" s="14"/>
    </row>
    <row r="1555" spans="2:5" x14ac:dyDescent="0.3">
      <c r="B1555" s="10"/>
      <c r="E1555" s="14"/>
    </row>
    <row r="1556" spans="2:5" x14ac:dyDescent="0.3">
      <c r="B1556" s="10"/>
      <c r="E1556" s="14"/>
    </row>
    <row r="1557" spans="2:5" x14ac:dyDescent="0.3">
      <c r="B1557" s="10"/>
      <c r="E1557" s="14"/>
    </row>
    <row r="1558" spans="2:5" x14ac:dyDescent="0.3">
      <c r="B1558" s="10"/>
      <c r="E1558" s="14"/>
    </row>
    <row r="1559" spans="2:5" x14ac:dyDescent="0.3">
      <c r="B1559" s="10"/>
      <c r="E1559" s="14"/>
    </row>
    <row r="1560" spans="2:5" x14ac:dyDescent="0.3">
      <c r="B1560" s="10"/>
      <c r="E1560" s="14"/>
    </row>
    <row r="1561" spans="2:5" x14ac:dyDescent="0.3">
      <c r="B1561" s="10"/>
      <c r="E1561" s="14"/>
    </row>
    <row r="1562" spans="2:5" x14ac:dyDescent="0.3">
      <c r="B1562" s="10"/>
      <c r="E1562" s="14"/>
    </row>
    <row r="1563" spans="2:5" x14ac:dyDescent="0.3">
      <c r="B1563" s="10"/>
      <c r="E1563" s="14"/>
    </row>
    <row r="1564" spans="2:5" x14ac:dyDescent="0.3">
      <c r="B1564" s="10"/>
      <c r="E1564" s="14"/>
    </row>
    <row r="1565" spans="2:5" x14ac:dyDescent="0.3">
      <c r="B1565" s="10"/>
      <c r="E1565" s="14"/>
    </row>
    <row r="1566" spans="2:5" x14ac:dyDescent="0.3">
      <c r="B1566" s="10"/>
      <c r="E1566" s="14"/>
    </row>
    <row r="1567" spans="2:5" x14ac:dyDescent="0.3">
      <c r="B1567" s="10"/>
      <c r="E1567" s="14"/>
    </row>
    <row r="1568" spans="2:5" x14ac:dyDescent="0.3">
      <c r="B1568" s="10"/>
      <c r="E1568" s="14"/>
    </row>
    <row r="1569" spans="2:5" x14ac:dyDescent="0.3">
      <c r="B1569" s="10"/>
      <c r="E1569" s="14"/>
    </row>
    <row r="1570" spans="2:5" x14ac:dyDescent="0.3">
      <c r="B1570" s="10"/>
      <c r="E1570" s="14"/>
    </row>
    <row r="1571" spans="2:5" x14ac:dyDescent="0.3">
      <c r="B1571" s="10"/>
      <c r="E1571" s="14"/>
    </row>
    <row r="1572" spans="2:5" x14ac:dyDescent="0.3">
      <c r="B1572" s="10"/>
      <c r="E1572" s="14"/>
    </row>
    <row r="1573" spans="2:5" x14ac:dyDescent="0.3">
      <c r="B1573" s="10"/>
      <c r="E1573" s="14"/>
    </row>
    <row r="1574" spans="2:5" x14ac:dyDescent="0.3">
      <c r="B1574" s="10"/>
      <c r="E1574" s="14"/>
    </row>
    <row r="1575" spans="2:5" x14ac:dyDescent="0.3">
      <c r="B1575" s="10"/>
      <c r="E1575" s="14"/>
    </row>
    <row r="1576" spans="2:5" x14ac:dyDescent="0.3">
      <c r="B1576" s="10"/>
      <c r="E1576" s="14"/>
    </row>
    <row r="1577" spans="2:5" x14ac:dyDescent="0.3">
      <c r="B1577" s="10"/>
      <c r="E1577" s="14"/>
    </row>
    <row r="1578" spans="2:5" x14ac:dyDescent="0.3">
      <c r="B1578" s="10"/>
      <c r="E1578" s="14"/>
    </row>
    <row r="1579" spans="2:5" x14ac:dyDescent="0.3">
      <c r="B1579" s="10"/>
      <c r="E1579" s="14"/>
    </row>
    <row r="1580" spans="2:5" x14ac:dyDescent="0.3">
      <c r="B1580" s="10"/>
      <c r="E1580" s="14"/>
    </row>
    <row r="1581" spans="2:5" x14ac:dyDescent="0.3">
      <c r="B1581" s="10"/>
      <c r="E1581" s="14"/>
    </row>
    <row r="1582" spans="2:5" x14ac:dyDescent="0.3">
      <c r="B1582" s="10"/>
      <c r="E1582" s="14"/>
    </row>
    <row r="1583" spans="2:5" x14ac:dyDescent="0.3">
      <c r="B1583" s="10"/>
      <c r="E1583" s="14"/>
    </row>
    <row r="1584" spans="2:5" x14ac:dyDescent="0.3">
      <c r="B1584" s="10"/>
      <c r="E1584" s="14"/>
    </row>
    <row r="1585" spans="2:5" x14ac:dyDescent="0.3">
      <c r="B1585" s="10"/>
      <c r="E1585" s="14"/>
    </row>
    <row r="1586" spans="2:5" x14ac:dyDescent="0.3">
      <c r="B1586" s="10"/>
      <c r="E1586" s="14"/>
    </row>
    <row r="1587" spans="2:5" x14ac:dyDescent="0.3">
      <c r="B1587" s="10"/>
      <c r="E1587" s="14"/>
    </row>
    <row r="1588" spans="2:5" x14ac:dyDescent="0.3">
      <c r="B1588" s="10"/>
      <c r="E1588" s="14"/>
    </row>
    <row r="1589" spans="2:5" x14ac:dyDescent="0.3">
      <c r="B1589" s="10"/>
      <c r="E1589" s="14"/>
    </row>
    <row r="1590" spans="2:5" x14ac:dyDescent="0.3">
      <c r="B1590" s="10"/>
      <c r="E1590" s="14"/>
    </row>
    <row r="1591" spans="2:5" x14ac:dyDescent="0.3">
      <c r="B1591" s="10"/>
      <c r="E1591" s="14"/>
    </row>
    <row r="1592" spans="2:5" x14ac:dyDescent="0.3">
      <c r="B1592" s="10"/>
      <c r="E1592" s="14"/>
    </row>
    <row r="1593" spans="2:5" x14ac:dyDescent="0.3">
      <c r="B1593" s="10"/>
      <c r="E1593" s="14"/>
    </row>
    <row r="1594" spans="2:5" x14ac:dyDescent="0.3">
      <c r="B1594" s="10"/>
      <c r="E1594" s="14"/>
    </row>
    <row r="1595" spans="2:5" x14ac:dyDescent="0.3">
      <c r="B1595" s="10"/>
      <c r="E1595" s="14"/>
    </row>
    <row r="1596" spans="2:5" x14ac:dyDescent="0.3">
      <c r="B1596" s="10"/>
      <c r="E1596" s="14"/>
    </row>
    <row r="1597" spans="2:5" x14ac:dyDescent="0.3">
      <c r="B1597" s="10"/>
      <c r="E1597" s="14"/>
    </row>
    <row r="1598" spans="2:5" x14ac:dyDescent="0.3">
      <c r="B1598" s="10"/>
      <c r="E1598" s="14"/>
    </row>
    <row r="1599" spans="2:5" x14ac:dyDescent="0.3">
      <c r="B1599" s="10"/>
      <c r="E1599" s="14"/>
    </row>
    <row r="1600" spans="2:5" x14ac:dyDescent="0.3">
      <c r="B1600" s="10"/>
      <c r="E1600" s="14"/>
    </row>
    <row r="1601" spans="2:5" x14ac:dyDescent="0.3">
      <c r="B1601" s="10"/>
      <c r="E1601" s="14"/>
    </row>
    <row r="1602" spans="2:5" x14ac:dyDescent="0.3">
      <c r="B1602" s="10"/>
      <c r="E1602" s="14"/>
    </row>
    <row r="1603" spans="2:5" x14ac:dyDescent="0.3">
      <c r="B1603" s="10"/>
      <c r="E1603" s="14"/>
    </row>
    <row r="1604" spans="2:5" x14ac:dyDescent="0.3">
      <c r="B1604" s="10"/>
      <c r="E1604" s="14"/>
    </row>
    <row r="1605" spans="2:5" x14ac:dyDescent="0.3">
      <c r="B1605" s="10"/>
      <c r="E1605" s="14"/>
    </row>
    <row r="1606" spans="2:5" x14ac:dyDescent="0.3">
      <c r="B1606" s="10"/>
      <c r="E1606" s="14"/>
    </row>
    <row r="1607" spans="2:5" x14ac:dyDescent="0.3">
      <c r="B1607" s="10"/>
      <c r="E1607" s="14"/>
    </row>
    <row r="1608" spans="2:5" x14ac:dyDescent="0.3">
      <c r="B1608" s="10"/>
      <c r="E1608" s="14"/>
    </row>
    <row r="1609" spans="2:5" x14ac:dyDescent="0.3">
      <c r="B1609" s="10"/>
      <c r="E1609" s="14"/>
    </row>
    <row r="1610" spans="2:5" x14ac:dyDescent="0.3">
      <c r="B1610" s="10"/>
      <c r="E1610" s="14"/>
    </row>
    <row r="1611" spans="2:5" x14ac:dyDescent="0.3">
      <c r="B1611" s="10"/>
      <c r="E1611" s="14"/>
    </row>
    <row r="1612" spans="2:5" x14ac:dyDescent="0.3">
      <c r="B1612" s="10"/>
      <c r="E1612" s="14"/>
    </row>
    <row r="1613" spans="2:5" x14ac:dyDescent="0.3">
      <c r="B1613" s="10"/>
      <c r="E1613" s="14"/>
    </row>
    <row r="1614" spans="2:5" x14ac:dyDescent="0.3">
      <c r="B1614" s="10"/>
      <c r="E1614" s="14"/>
    </row>
    <row r="1615" spans="2:5" x14ac:dyDescent="0.3">
      <c r="B1615" s="10"/>
      <c r="E1615" s="14"/>
    </row>
    <row r="1616" spans="2:5" x14ac:dyDescent="0.3">
      <c r="B1616" s="10"/>
      <c r="E1616" s="14"/>
    </row>
    <row r="1617" spans="2:5" x14ac:dyDescent="0.3">
      <c r="B1617" s="10"/>
      <c r="E1617" s="14"/>
    </row>
    <row r="1618" spans="2:5" x14ac:dyDescent="0.3">
      <c r="B1618" s="10"/>
      <c r="E1618" s="14"/>
    </row>
    <row r="1619" spans="2:5" x14ac:dyDescent="0.3">
      <c r="B1619" s="10"/>
      <c r="E1619" s="14"/>
    </row>
    <row r="1620" spans="2:5" x14ac:dyDescent="0.3">
      <c r="B1620" s="10"/>
      <c r="E1620" s="14"/>
    </row>
    <row r="1621" spans="2:5" x14ac:dyDescent="0.3">
      <c r="B1621" s="10"/>
      <c r="E1621" s="14"/>
    </row>
    <row r="1622" spans="2:5" x14ac:dyDescent="0.3">
      <c r="B1622" s="10"/>
      <c r="E1622" s="14"/>
    </row>
    <row r="1623" spans="2:5" x14ac:dyDescent="0.3">
      <c r="B1623" s="10"/>
      <c r="E1623" s="14"/>
    </row>
    <row r="1624" spans="2:5" x14ac:dyDescent="0.3">
      <c r="B1624" s="10"/>
      <c r="E1624" s="14"/>
    </row>
    <row r="1625" spans="2:5" x14ac:dyDescent="0.3">
      <c r="B1625" s="10"/>
      <c r="E1625" s="14"/>
    </row>
    <row r="1626" spans="2:5" x14ac:dyDescent="0.3">
      <c r="B1626" s="10"/>
      <c r="E1626" s="14"/>
    </row>
    <row r="1627" spans="2:5" x14ac:dyDescent="0.3">
      <c r="B1627" s="10"/>
      <c r="E1627" s="14"/>
    </row>
    <row r="1628" spans="2:5" x14ac:dyDescent="0.3">
      <c r="B1628" s="10"/>
      <c r="E1628" s="14"/>
    </row>
    <row r="1629" spans="2:5" x14ac:dyDescent="0.3">
      <c r="B1629" s="10"/>
      <c r="E1629" s="14"/>
    </row>
    <row r="1630" spans="2:5" x14ac:dyDescent="0.3">
      <c r="B1630" s="10"/>
      <c r="E1630" s="14"/>
    </row>
    <row r="1631" spans="2:5" x14ac:dyDescent="0.3">
      <c r="B1631" s="10"/>
      <c r="E1631" s="14"/>
    </row>
    <row r="1632" spans="2:5" x14ac:dyDescent="0.3">
      <c r="B1632" s="10"/>
      <c r="E1632" s="14"/>
    </row>
    <row r="1633" spans="2:5" x14ac:dyDescent="0.3">
      <c r="B1633" s="10"/>
      <c r="E1633" s="14"/>
    </row>
    <row r="1634" spans="2:5" x14ac:dyDescent="0.3">
      <c r="B1634" s="10"/>
      <c r="E1634" s="14"/>
    </row>
    <row r="1635" spans="2:5" x14ac:dyDescent="0.3">
      <c r="B1635" s="10"/>
      <c r="E1635" s="14"/>
    </row>
    <row r="1636" spans="2:5" x14ac:dyDescent="0.3">
      <c r="B1636" s="10"/>
      <c r="E1636" s="14"/>
    </row>
    <row r="1637" spans="2:5" x14ac:dyDescent="0.3">
      <c r="B1637" s="10"/>
      <c r="E1637" s="14"/>
    </row>
    <row r="1638" spans="2:5" x14ac:dyDescent="0.3">
      <c r="B1638" s="10"/>
      <c r="E1638" s="14"/>
    </row>
    <row r="1639" spans="2:5" x14ac:dyDescent="0.3">
      <c r="B1639" s="10"/>
      <c r="E1639" s="14"/>
    </row>
    <row r="1640" spans="2:5" x14ac:dyDescent="0.3">
      <c r="B1640" s="10"/>
      <c r="E1640" s="14"/>
    </row>
    <row r="1641" spans="2:5" x14ac:dyDescent="0.3">
      <c r="B1641" s="10"/>
      <c r="E1641" s="14"/>
    </row>
    <row r="1642" spans="2:5" x14ac:dyDescent="0.3">
      <c r="B1642" s="10"/>
      <c r="E1642" s="14"/>
    </row>
    <row r="1643" spans="2:5" x14ac:dyDescent="0.3">
      <c r="B1643" s="10"/>
      <c r="E1643" s="14"/>
    </row>
    <row r="1644" spans="2:5" x14ac:dyDescent="0.3">
      <c r="B1644" s="10"/>
      <c r="E1644" s="14"/>
    </row>
    <row r="1645" spans="2:5" x14ac:dyDescent="0.3">
      <c r="B1645" s="10"/>
      <c r="E1645" s="14"/>
    </row>
    <row r="1646" spans="2:5" x14ac:dyDescent="0.3">
      <c r="B1646" s="10"/>
      <c r="E1646" s="14"/>
    </row>
    <row r="1647" spans="2:5" x14ac:dyDescent="0.3">
      <c r="B1647" s="10"/>
      <c r="E1647" s="14"/>
    </row>
    <row r="1648" spans="2:5" x14ac:dyDescent="0.3">
      <c r="B1648" s="10"/>
      <c r="E1648" s="14"/>
    </row>
    <row r="1649" spans="2:5" x14ac:dyDescent="0.3">
      <c r="B1649" s="10"/>
      <c r="E1649" s="14"/>
    </row>
    <row r="1650" spans="2:5" x14ac:dyDescent="0.3">
      <c r="B1650" s="10"/>
      <c r="E1650" s="14"/>
    </row>
    <row r="1651" spans="2:5" x14ac:dyDescent="0.3">
      <c r="B1651" s="10"/>
      <c r="E1651" s="14"/>
    </row>
    <row r="1652" spans="2:5" x14ac:dyDescent="0.3">
      <c r="B1652" s="10"/>
      <c r="E1652" s="14"/>
    </row>
    <row r="1653" spans="2:5" x14ac:dyDescent="0.3">
      <c r="B1653" s="10"/>
      <c r="E1653" s="14"/>
    </row>
    <row r="1654" spans="2:5" x14ac:dyDescent="0.3">
      <c r="B1654" s="10"/>
      <c r="E1654" s="14"/>
    </row>
    <row r="1655" spans="2:5" x14ac:dyDescent="0.3">
      <c r="B1655" s="10"/>
      <c r="E1655" s="14"/>
    </row>
    <row r="1656" spans="2:5" x14ac:dyDescent="0.3">
      <c r="B1656" s="10"/>
      <c r="E1656" s="14"/>
    </row>
    <row r="1657" spans="2:5" x14ac:dyDescent="0.3">
      <c r="B1657" s="10"/>
      <c r="E1657" s="14"/>
    </row>
    <row r="1658" spans="2:5" x14ac:dyDescent="0.3">
      <c r="B1658" s="10"/>
      <c r="E1658" s="14"/>
    </row>
    <row r="1659" spans="2:5" x14ac:dyDescent="0.3">
      <c r="B1659" s="10"/>
      <c r="E1659" s="14"/>
    </row>
    <row r="1660" spans="2:5" x14ac:dyDescent="0.3">
      <c r="B1660" s="10"/>
      <c r="E1660" s="14"/>
    </row>
    <row r="1661" spans="2:5" x14ac:dyDescent="0.3">
      <c r="B1661" s="10"/>
      <c r="E1661" s="14"/>
    </row>
    <row r="1662" spans="2:5" x14ac:dyDescent="0.3">
      <c r="B1662" s="10"/>
      <c r="E1662" s="14"/>
    </row>
    <row r="1663" spans="2:5" x14ac:dyDescent="0.3">
      <c r="B1663" s="10"/>
      <c r="E1663" s="14"/>
    </row>
    <row r="1664" spans="2:5" x14ac:dyDescent="0.3">
      <c r="B1664" s="10"/>
      <c r="E1664" s="14"/>
    </row>
    <row r="1665" spans="2:5" x14ac:dyDescent="0.3">
      <c r="B1665" s="10"/>
      <c r="E1665" s="14"/>
    </row>
    <row r="1666" spans="2:5" x14ac:dyDescent="0.3">
      <c r="B1666" s="10"/>
      <c r="E1666" s="14"/>
    </row>
    <row r="1667" spans="2:5" x14ac:dyDescent="0.3">
      <c r="B1667" s="10"/>
      <c r="E1667" s="14"/>
    </row>
    <row r="1668" spans="2:5" x14ac:dyDescent="0.3">
      <c r="B1668" s="10"/>
      <c r="E1668" s="14"/>
    </row>
    <row r="1669" spans="2:5" x14ac:dyDescent="0.3">
      <c r="B1669" s="10"/>
      <c r="E1669" s="14"/>
    </row>
    <row r="1670" spans="2:5" x14ac:dyDescent="0.3">
      <c r="B1670" s="10"/>
      <c r="E1670" s="14"/>
    </row>
    <row r="1671" spans="2:5" x14ac:dyDescent="0.3">
      <c r="B1671" s="10"/>
      <c r="E1671" s="14"/>
    </row>
    <row r="1672" spans="2:5" x14ac:dyDescent="0.3">
      <c r="B1672" s="10"/>
      <c r="E1672" s="14"/>
    </row>
    <row r="1673" spans="2:5" x14ac:dyDescent="0.3">
      <c r="B1673" s="10"/>
      <c r="E1673" s="14"/>
    </row>
    <row r="1674" spans="2:5" x14ac:dyDescent="0.3">
      <c r="B1674" s="10"/>
      <c r="E1674" s="14"/>
    </row>
    <row r="1675" spans="2:5" x14ac:dyDescent="0.3">
      <c r="B1675" s="10"/>
      <c r="E1675" s="14"/>
    </row>
    <row r="1676" spans="2:5" x14ac:dyDescent="0.3">
      <c r="B1676" s="10"/>
      <c r="E1676" s="14"/>
    </row>
    <row r="1677" spans="2:5" x14ac:dyDescent="0.3">
      <c r="B1677" s="10"/>
      <c r="E1677" s="14"/>
    </row>
    <row r="1678" spans="2:5" x14ac:dyDescent="0.3">
      <c r="B1678" s="10"/>
      <c r="E1678" s="14"/>
    </row>
    <row r="1679" spans="2:5" x14ac:dyDescent="0.3">
      <c r="B1679" s="10"/>
      <c r="E1679" s="14"/>
    </row>
    <row r="1680" spans="2:5" x14ac:dyDescent="0.3">
      <c r="B1680" s="10"/>
      <c r="E1680" s="14"/>
    </row>
    <row r="1681" spans="2:5" x14ac:dyDescent="0.3">
      <c r="B1681" s="10"/>
      <c r="E1681" s="14"/>
    </row>
    <row r="1682" spans="2:5" x14ac:dyDescent="0.3">
      <c r="B1682" s="10"/>
      <c r="E1682" s="14"/>
    </row>
    <row r="1683" spans="2:5" x14ac:dyDescent="0.3">
      <c r="B1683" s="10"/>
      <c r="E1683" s="14"/>
    </row>
    <row r="1684" spans="2:5" x14ac:dyDescent="0.3">
      <c r="B1684" s="10"/>
      <c r="E1684" s="14"/>
    </row>
    <row r="1685" spans="2:5" x14ac:dyDescent="0.3">
      <c r="B1685" s="10"/>
      <c r="E1685" s="14"/>
    </row>
    <row r="1686" spans="2:5" x14ac:dyDescent="0.3">
      <c r="B1686" s="10"/>
      <c r="E1686" s="14"/>
    </row>
    <row r="1687" spans="2:5" x14ac:dyDescent="0.3">
      <c r="B1687" s="10"/>
      <c r="E1687" s="14"/>
    </row>
    <row r="1688" spans="2:5" x14ac:dyDescent="0.3">
      <c r="B1688" s="10"/>
      <c r="E1688" s="14"/>
    </row>
    <row r="1689" spans="2:5" x14ac:dyDescent="0.3">
      <c r="B1689" s="10"/>
      <c r="E1689" s="14"/>
    </row>
    <row r="1690" spans="2:5" x14ac:dyDescent="0.3">
      <c r="B1690" s="10"/>
      <c r="E1690" s="14"/>
    </row>
    <row r="1691" spans="2:5" x14ac:dyDescent="0.3">
      <c r="B1691" s="10"/>
      <c r="E1691" s="14"/>
    </row>
    <row r="1692" spans="2:5" x14ac:dyDescent="0.3">
      <c r="B1692" s="10"/>
      <c r="E1692" s="14"/>
    </row>
    <row r="1693" spans="2:5" x14ac:dyDescent="0.3">
      <c r="B1693" s="10"/>
      <c r="E1693" s="14"/>
    </row>
    <row r="1694" spans="2:5" x14ac:dyDescent="0.3">
      <c r="B1694" s="10"/>
      <c r="E1694" s="14"/>
    </row>
    <row r="1695" spans="2:5" x14ac:dyDescent="0.3">
      <c r="B1695" s="10"/>
      <c r="E1695" s="14"/>
    </row>
    <row r="1696" spans="2:5" x14ac:dyDescent="0.3">
      <c r="B1696" s="10"/>
      <c r="E1696" s="14"/>
    </row>
    <row r="1697" spans="2:5" x14ac:dyDescent="0.3">
      <c r="B1697" s="10"/>
      <c r="E1697" s="14"/>
    </row>
    <row r="1698" spans="2:5" x14ac:dyDescent="0.3">
      <c r="B1698" s="10"/>
      <c r="E1698" s="14"/>
    </row>
    <row r="1699" spans="2:5" x14ac:dyDescent="0.3">
      <c r="B1699" s="10"/>
      <c r="E1699" s="14"/>
    </row>
    <row r="1700" spans="2:5" x14ac:dyDescent="0.3">
      <c r="B1700" s="10"/>
      <c r="E1700" s="14"/>
    </row>
    <row r="1701" spans="2:5" x14ac:dyDescent="0.3">
      <c r="B1701" s="10"/>
      <c r="E1701" s="14"/>
    </row>
    <row r="1702" spans="2:5" x14ac:dyDescent="0.3">
      <c r="B1702" s="10"/>
      <c r="E1702" s="14"/>
    </row>
    <row r="1703" spans="2:5" x14ac:dyDescent="0.3">
      <c r="B1703" s="10"/>
      <c r="E1703" s="14"/>
    </row>
    <row r="1704" spans="2:5" x14ac:dyDescent="0.3">
      <c r="B1704" s="10"/>
      <c r="E1704" s="14"/>
    </row>
    <row r="1705" spans="2:5" x14ac:dyDescent="0.3">
      <c r="B1705" s="10"/>
      <c r="E1705" s="14"/>
    </row>
    <row r="1706" spans="2:5" x14ac:dyDescent="0.3">
      <c r="B1706" s="10"/>
      <c r="E1706" s="14"/>
    </row>
    <row r="1707" spans="2:5" x14ac:dyDescent="0.3">
      <c r="B1707" s="10"/>
      <c r="E1707" s="14"/>
    </row>
    <row r="1708" spans="2:5" x14ac:dyDescent="0.3">
      <c r="B1708" s="10"/>
      <c r="E1708" s="14"/>
    </row>
    <row r="1709" spans="2:5" x14ac:dyDescent="0.3">
      <c r="B1709" s="10"/>
      <c r="E1709" s="14"/>
    </row>
    <row r="1710" spans="2:5" x14ac:dyDescent="0.3">
      <c r="B1710" s="10"/>
      <c r="E1710" s="14"/>
    </row>
    <row r="1711" spans="2:5" x14ac:dyDescent="0.3">
      <c r="B1711" s="10"/>
      <c r="E1711" s="14"/>
    </row>
    <row r="1712" spans="2:5" x14ac:dyDescent="0.3">
      <c r="B1712" s="10"/>
      <c r="E1712" s="14"/>
    </row>
    <row r="1713" spans="2:5" x14ac:dyDescent="0.3">
      <c r="B1713" s="10"/>
      <c r="E1713" s="14"/>
    </row>
    <row r="1714" spans="2:5" x14ac:dyDescent="0.3">
      <c r="B1714" s="10"/>
      <c r="E1714" s="14"/>
    </row>
    <row r="1715" spans="2:5" x14ac:dyDescent="0.3">
      <c r="B1715" s="10"/>
      <c r="E1715" s="14"/>
    </row>
    <row r="1716" spans="2:5" x14ac:dyDescent="0.3">
      <c r="B1716" s="10"/>
      <c r="E1716" s="14"/>
    </row>
    <row r="1717" spans="2:5" x14ac:dyDescent="0.3">
      <c r="B1717" s="10"/>
      <c r="E1717" s="14"/>
    </row>
    <row r="1718" spans="2:5" x14ac:dyDescent="0.3">
      <c r="B1718" s="10"/>
      <c r="E1718" s="14"/>
    </row>
    <row r="1719" spans="2:5" x14ac:dyDescent="0.3">
      <c r="B1719" s="10"/>
      <c r="E1719" s="14"/>
    </row>
    <row r="1720" spans="2:5" x14ac:dyDescent="0.3">
      <c r="B1720" s="10"/>
      <c r="E1720" s="14"/>
    </row>
    <row r="1721" spans="2:5" x14ac:dyDescent="0.3">
      <c r="B1721" s="10"/>
      <c r="E1721" s="14"/>
    </row>
    <row r="1722" spans="2:5" x14ac:dyDescent="0.3">
      <c r="B1722" s="10"/>
      <c r="E1722" s="14"/>
    </row>
    <row r="1723" spans="2:5" x14ac:dyDescent="0.3">
      <c r="B1723" s="10"/>
      <c r="E1723" s="14"/>
    </row>
    <row r="1724" spans="2:5" x14ac:dyDescent="0.3">
      <c r="B1724" s="10"/>
      <c r="E1724" s="14"/>
    </row>
    <row r="1725" spans="2:5" x14ac:dyDescent="0.3">
      <c r="B1725" s="10"/>
      <c r="E1725" s="14"/>
    </row>
    <row r="1726" spans="2:5" x14ac:dyDescent="0.3">
      <c r="B1726" s="10"/>
      <c r="E1726" s="14"/>
    </row>
    <row r="1727" spans="2:5" x14ac:dyDescent="0.3">
      <c r="B1727" s="10"/>
      <c r="E1727" s="14"/>
    </row>
    <row r="1728" spans="2:5" x14ac:dyDescent="0.3">
      <c r="B1728" s="10"/>
      <c r="E1728" s="14"/>
    </row>
    <row r="1729" spans="2:5" x14ac:dyDescent="0.3">
      <c r="B1729" s="10"/>
      <c r="E1729" s="14"/>
    </row>
    <row r="1730" spans="2:5" x14ac:dyDescent="0.3">
      <c r="B1730" s="10"/>
      <c r="E1730" s="14"/>
    </row>
    <row r="1731" spans="2:5" x14ac:dyDescent="0.3">
      <c r="B1731" s="10"/>
      <c r="E1731" s="14"/>
    </row>
    <row r="1732" spans="2:5" x14ac:dyDescent="0.3">
      <c r="B1732" s="10"/>
      <c r="E1732" s="14"/>
    </row>
    <row r="1733" spans="2:5" x14ac:dyDescent="0.3">
      <c r="B1733" s="10"/>
      <c r="E1733" s="14"/>
    </row>
    <row r="1734" spans="2:5" x14ac:dyDescent="0.3">
      <c r="B1734" s="10"/>
      <c r="E1734" s="14"/>
    </row>
    <row r="1735" spans="2:5" x14ac:dyDescent="0.3">
      <c r="B1735" s="10"/>
      <c r="E1735" s="14"/>
    </row>
    <row r="1736" spans="2:5" x14ac:dyDescent="0.3">
      <c r="B1736" s="10"/>
      <c r="E1736" s="14"/>
    </row>
    <row r="1737" spans="2:5" x14ac:dyDescent="0.3">
      <c r="B1737" s="10"/>
      <c r="E1737" s="14"/>
    </row>
    <row r="1738" spans="2:5" x14ac:dyDescent="0.3">
      <c r="B1738" s="10"/>
      <c r="E1738" s="14"/>
    </row>
    <row r="1739" spans="2:5" x14ac:dyDescent="0.3">
      <c r="B1739" s="10"/>
      <c r="E1739" s="14"/>
    </row>
    <row r="1740" spans="2:5" x14ac:dyDescent="0.3">
      <c r="B1740" s="10"/>
      <c r="E1740" s="14"/>
    </row>
    <row r="1741" spans="2:5" x14ac:dyDescent="0.3">
      <c r="B1741" s="10"/>
      <c r="E1741" s="14"/>
    </row>
    <row r="1742" spans="2:5" x14ac:dyDescent="0.3">
      <c r="B1742" s="10"/>
      <c r="E1742" s="14"/>
    </row>
    <row r="1743" spans="2:5" x14ac:dyDescent="0.3">
      <c r="B1743" s="10"/>
      <c r="E1743" s="14"/>
    </row>
    <row r="1744" spans="2:5" x14ac:dyDescent="0.3">
      <c r="B1744" s="10"/>
      <c r="E1744" s="14"/>
    </row>
    <row r="1745" spans="2:5" x14ac:dyDescent="0.3">
      <c r="B1745" s="10"/>
      <c r="E1745" s="14"/>
    </row>
    <row r="1746" spans="2:5" x14ac:dyDescent="0.3">
      <c r="B1746" s="10"/>
      <c r="E1746" s="14"/>
    </row>
    <row r="1747" spans="2:5" x14ac:dyDescent="0.3">
      <c r="B1747" s="10"/>
      <c r="E1747" s="14"/>
    </row>
    <row r="1748" spans="2:5" x14ac:dyDescent="0.3">
      <c r="B1748" s="10"/>
      <c r="E1748" s="14"/>
    </row>
    <row r="1749" spans="2:5" x14ac:dyDescent="0.3">
      <c r="B1749" s="10"/>
      <c r="E1749" s="14"/>
    </row>
    <row r="1750" spans="2:5" x14ac:dyDescent="0.3">
      <c r="B1750" s="10"/>
      <c r="E1750" s="14"/>
    </row>
    <row r="1751" spans="2:5" x14ac:dyDescent="0.3">
      <c r="B1751" s="10"/>
      <c r="E1751" s="14"/>
    </row>
    <row r="1752" spans="2:5" x14ac:dyDescent="0.3">
      <c r="B1752" s="10"/>
      <c r="E1752" s="14"/>
    </row>
    <row r="1753" spans="2:5" x14ac:dyDescent="0.3">
      <c r="B1753" s="10"/>
      <c r="E1753" s="14"/>
    </row>
    <row r="1754" spans="2:5" x14ac:dyDescent="0.3">
      <c r="B1754" s="10"/>
      <c r="E1754" s="14"/>
    </row>
    <row r="1755" spans="2:5" x14ac:dyDescent="0.3">
      <c r="B1755" s="10"/>
      <c r="E1755" s="14"/>
    </row>
    <row r="1756" spans="2:5" x14ac:dyDescent="0.3">
      <c r="B1756" s="10"/>
      <c r="E1756" s="14"/>
    </row>
    <row r="1757" spans="2:5" x14ac:dyDescent="0.3">
      <c r="B1757" s="10"/>
      <c r="E1757" s="14"/>
    </row>
    <row r="1758" spans="2:5" x14ac:dyDescent="0.3">
      <c r="B1758" s="10"/>
      <c r="E1758" s="14"/>
    </row>
    <row r="1759" spans="2:5" x14ac:dyDescent="0.3">
      <c r="B1759" s="10"/>
      <c r="E1759" s="14"/>
    </row>
    <row r="1760" spans="2:5" x14ac:dyDescent="0.3">
      <c r="B1760" s="10"/>
      <c r="E1760" s="14"/>
    </row>
    <row r="1761" spans="2:5" x14ac:dyDescent="0.3">
      <c r="B1761" s="10"/>
      <c r="E1761" s="14"/>
    </row>
    <row r="1762" spans="2:5" x14ac:dyDescent="0.3">
      <c r="B1762" s="10"/>
      <c r="E1762" s="14"/>
    </row>
    <row r="1763" spans="2:5" x14ac:dyDescent="0.3">
      <c r="B1763" s="10"/>
      <c r="E1763" s="14"/>
    </row>
    <row r="1764" spans="2:5" x14ac:dyDescent="0.3">
      <c r="B1764" s="10"/>
      <c r="E1764" s="14"/>
    </row>
    <row r="1765" spans="2:5" x14ac:dyDescent="0.3">
      <c r="B1765" s="10"/>
      <c r="E1765" s="14"/>
    </row>
    <row r="1766" spans="2:5" x14ac:dyDescent="0.3">
      <c r="B1766" s="10"/>
      <c r="E1766" s="14"/>
    </row>
    <row r="1767" spans="2:5" x14ac:dyDescent="0.3">
      <c r="B1767" s="10"/>
      <c r="E1767" s="14"/>
    </row>
    <row r="1768" spans="2:5" x14ac:dyDescent="0.3">
      <c r="B1768" s="10"/>
      <c r="E1768" s="14"/>
    </row>
    <row r="1769" spans="2:5" x14ac:dyDescent="0.3">
      <c r="B1769" s="10"/>
      <c r="E1769" s="14"/>
    </row>
    <row r="1770" spans="2:5" x14ac:dyDescent="0.3">
      <c r="B1770" s="10"/>
      <c r="E1770" s="14"/>
    </row>
    <row r="1771" spans="2:5" x14ac:dyDescent="0.3">
      <c r="B1771" s="10"/>
      <c r="E1771" s="14"/>
    </row>
    <row r="1772" spans="2:5" x14ac:dyDescent="0.3">
      <c r="B1772" s="10"/>
      <c r="E1772" s="14"/>
    </row>
    <row r="1773" spans="2:5" x14ac:dyDescent="0.3">
      <c r="B1773" s="10"/>
      <c r="E1773" s="14"/>
    </row>
    <row r="1774" spans="2:5" x14ac:dyDescent="0.3">
      <c r="B1774" s="10"/>
      <c r="E1774" s="14"/>
    </row>
    <row r="1775" spans="2:5" x14ac:dyDescent="0.3">
      <c r="B1775" s="10"/>
      <c r="E1775" s="14"/>
    </row>
    <row r="1776" spans="2:5" x14ac:dyDescent="0.3">
      <c r="B1776" s="10"/>
      <c r="E1776" s="14"/>
    </row>
    <row r="1777" spans="2:5" x14ac:dyDescent="0.3">
      <c r="B1777" s="10"/>
      <c r="E1777" s="14"/>
    </row>
    <row r="1778" spans="2:5" x14ac:dyDescent="0.3">
      <c r="B1778" s="10"/>
      <c r="E1778" s="14"/>
    </row>
    <row r="1779" spans="2:5" x14ac:dyDescent="0.3">
      <c r="B1779" s="10"/>
      <c r="E1779" s="14"/>
    </row>
    <row r="1780" spans="2:5" x14ac:dyDescent="0.3">
      <c r="B1780" s="10"/>
      <c r="E1780" s="14"/>
    </row>
    <row r="1781" spans="2:5" x14ac:dyDescent="0.3">
      <c r="B1781" s="10"/>
      <c r="E1781" s="14"/>
    </row>
    <row r="1782" spans="2:5" x14ac:dyDescent="0.3">
      <c r="B1782" s="10"/>
      <c r="E1782" s="14"/>
    </row>
    <row r="1783" spans="2:5" x14ac:dyDescent="0.3">
      <c r="B1783" s="10"/>
      <c r="E1783" s="14"/>
    </row>
    <row r="1784" spans="2:5" x14ac:dyDescent="0.3">
      <c r="B1784" s="10"/>
      <c r="E1784" s="14"/>
    </row>
    <row r="1785" spans="2:5" x14ac:dyDescent="0.3">
      <c r="B1785" s="10"/>
      <c r="E1785" s="14"/>
    </row>
    <row r="1786" spans="2:5" x14ac:dyDescent="0.3">
      <c r="B1786" s="10"/>
      <c r="E1786" s="14"/>
    </row>
    <row r="1787" spans="2:5" x14ac:dyDescent="0.3">
      <c r="B1787" s="10"/>
      <c r="E1787" s="14"/>
    </row>
    <row r="1788" spans="2:5" x14ac:dyDescent="0.3">
      <c r="B1788" s="10"/>
      <c r="E1788" s="14"/>
    </row>
    <row r="1789" spans="2:5" x14ac:dyDescent="0.3">
      <c r="B1789" s="10"/>
      <c r="E1789" s="14"/>
    </row>
    <row r="1790" spans="2:5" x14ac:dyDescent="0.3">
      <c r="B1790" s="10"/>
      <c r="E1790" s="14"/>
    </row>
    <row r="1791" spans="2:5" x14ac:dyDescent="0.3">
      <c r="B1791" s="10"/>
      <c r="E1791" s="14"/>
    </row>
    <row r="1792" spans="2:5" x14ac:dyDescent="0.3">
      <c r="B1792" s="10"/>
      <c r="E1792" s="14"/>
    </row>
    <row r="1793" spans="2:5" x14ac:dyDescent="0.3">
      <c r="B1793" s="10"/>
      <c r="E1793" s="14"/>
    </row>
    <row r="1794" spans="2:5" x14ac:dyDescent="0.3">
      <c r="B1794" s="10"/>
      <c r="E1794" s="14"/>
    </row>
    <row r="1795" spans="2:5" x14ac:dyDescent="0.3">
      <c r="B1795" s="10"/>
      <c r="E1795" s="14"/>
    </row>
    <row r="1796" spans="2:5" x14ac:dyDescent="0.3">
      <c r="B1796" s="10"/>
      <c r="E1796" s="14"/>
    </row>
    <row r="1797" spans="2:5" x14ac:dyDescent="0.3">
      <c r="B1797" s="10"/>
      <c r="E1797" s="14"/>
    </row>
    <row r="1798" spans="2:5" x14ac:dyDescent="0.3">
      <c r="B1798" s="10"/>
      <c r="E1798" s="14"/>
    </row>
    <row r="1799" spans="2:5" x14ac:dyDescent="0.3">
      <c r="B1799" s="10"/>
      <c r="E1799" s="14"/>
    </row>
    <row r="1800" spans="2:5" x14ac:dyDescent="0.3">
      <c r="B1800" s="10"/>
      <c r="E1800" s="14"/>
    </row>
    <row r="1801" spans="2:5" x14ac:dyDescent="0.3">
      <c r="B1801" s="10"/>
      <c r="E1801" s="14"/>
    </row>
    <row r="1802" spans="2:5" x14ac:dyDescent="0.3">
      <c r="B1802" s="10"/>
      <c r="E1802" s="14"/>
    </row>
    <row r="1803" spans="2:5" x14ac:dyDescent="0.3">
      <c r="B1803" s="10"/>
      <c r="E1803" s="14"/>
    </row>
    <row r="1804" spans="2:5" x14ac:dyDescent="0.3">
      <c r="B1804" s="10"/>
      <c r="E1804" s="14"/>
    </row>
    <row r="1805" spans="2:5" x14ac:dyDescent="0.3">
      <c r="B1805" s="10"/>
      <c r="E1805" s="14"/>
    </row>
    <row r="1806" spans="2:5" x14ac:dyDescent="0.3">
      <c r="B1806" s="10"/>
      <c r="E1806" s="14"/>
    </row>
    <row r="1807" spans="2:5" x14ac:dyDescent="0.3">
      <c r="B1807" s="10"/>
      <c r="E1807" s="14"/>
    </row>
    <row r="1808" spans="2:5" x14ac:dyDescent="0.3">
      <c r="B1808" s="10"/>
      <c r="E1808" s="14"/>
    </row>
    <row r="1809" spans="2:5" x14ac:dyDescent="0.3">
      <c r="B1809" s="10"/>
      <c r="E1809" s="14"/>
    </row>
    <row r="1810" spans="2:5" x14ac:dyDescent="0.3">
      <c r="B1810" s="10"/>
      <c r="E1810" s="14"/>
    </row>
    <row r="1811" spans="2:5" x14ac:dyDescent="0.3">
      <c r="B1811" s="10"/>
      <c r="E1811" s="14"/>
    </row>
    <row r="1812" spans="2:5" x14ac:dyDescent="0.3">
      <c r="B1812" s="10"/>
      <c r="E1812" s="14"/>
    </row>
    <row r="1813" spans="2:5" x14ac:dyDescent="0.3">
      <c r="B1813" s="10"/>
      <c r="E1813" s="14"/>
    </row>
    <row r="1814" spans="2:5" x14ac:dyDescent="0.3">
      <c r="B1814" s="10"/>
      <c r="E1814" s="14"/>
    </row>
    <row r="1815" spans="2:5" x14ac:dyDescent="0.3">
      <c r="B1815" s="10"/>
      <c r="E1815" s="14"/>
    </row>
    <row r="1816" spans="2:5" x14ac:dyDescent="0.3">
      <c r="B1816" s="10"/>
      <c r="E1816" s="14"/>
    </row>
    <row r="1817" spans="2:5" x14ac:dyDescent="0.3">
      <c r="B1817" s="10"/>
      <c r="E1817" s="14"/>
    </row>
    <row r="1818" spans="2:5" x14ac:dyDescent="0.3">
      <c r="B1818" s="10"/>
      <c r="E1818" s="14"/>
    </row>
    <row r="1819" spans="2:5" x14ac:dyDescent="0.3">
      <c r="B1819" s="10"/>
      <c r="E1819" s="14"/>
    </row>
    <row r="1820" spans="2:5" x14ac:dyDescent="0.3">
      <c r="B1820" s="10"/>
      <c r="E1820" s="14"/>
    </row>
    <row r="1821" spans="2:5" x14ac:dyDescent="0.3">
      <c r="B1821" s="10"/>
      <c r="E1821" s="14"/>
    </row>
    <row r="1822" spans="2:5" x14ac:dyDescent="0.3">
      <c r="B1822" s="10"/>
      <c r="E1822" s="14"/>
    </row>
    <row r="1823" spans="2:5" x14ac:dyDescent="0.3">
      <c r="B1823" s="10"/>
      <c r="E1823" s="14"/>
    </row>
    <row r="1824" spans="2:5" x14ac:dyDescent="0.3">
      <c r="B1824" s="10"/>
      <c r="E1824" s="14"/>
    </row>
    <row r="1825" spans="2:5" x14ac:dyDescent="0.3">
      <c r="B1825" s="10"/>
      <c r="E1825" s="14"/>
    </row>
    <row r="1826" spans="2:5" x14ac:dyDescent="0.3">
      <c r="B1826" s="10"/>
      <c r="E1826" s="14"/>
    </row>
    <row r="1827" spans="2:5" x14ac:dyDescent="0.3">
      <c r="B1827" s="10"/>
      <c r="E1827" s="14"/>
    </row>
    <row r="1828" spans="2:5" x14ac:dyDescent="0.3">
      <c r="B1828" s="10"/>
      <c r="E1828" s="14"/>
    </row>
    <row r="1829" spans="2:5" x14ac:dyDescent="0.3">
      <c r="B1829" s="10"/>
      <c r="E1829" s="14"/>
    </row>
    <row r="1830" spans="2:5" x14ac:dyDescent="0.3">
      <c r="B1830" s="10"/>
      <c r="E1830" s="14"/>
    </row>
    <row r="1831" spans="2:5" x14ac:dyDescent="0.3">
      <c r="B1831" s="10"/>
      <c r="E1831" s="14"/>
    </row>
    <row r="1832" spans="2:5" x14ac:dyDescent="0.3">
      <c r="B1832" s="10"/>
      <c r="E1832" s="14"/>
    </row>
    <row r="1833" spans="2:5" x14ac:dyDescent="0.3">
      <c r="B1833" s="10"/>
      <c r="E1833" s="14"/>
    </row>
    <row r="1834" spans="2:5" x14ac:dyDescent="0.3">
      <c r="B1834" s="10"/>
      <c r="E1834" s="14"/>
    </row>
    <row r="1835" spans="2:5" x14ac:dyDescent="0.3">
      <c r="B1835" s="10"/>
      <c r="E1835" s="14"/>
    </row>
    <row r="1836" spans="2:5" x14ac:dyDescent="0.3">
      <c r="B1836" s="10"/>
      <c r="E1836" s="14"/>
    </row>
    <row r="1837" spans="2:5" x14ac:dyDescent="0.3">
      <c r="B1837" s="10"/>
      <c r="E1837" s="14"/>
    </row>
    <row r="1838" spans="2:5" x14ac:dyDescent="0.3">
      <c r="B1838" s="10"/>
      <c r="E1838" s="14"/>
    </row>
    <row r="1839" spans="2:5" x14ac:dyDescent="0.3">
      <c r="B1839" s="10"/>
      <c r="E1839" s="14"/>
    </row>
    <row r="1840" spans="2:5" x14ac:dyDescent="0.3">
      <c r="B1840" s="10"/>
      <c r="E1840" s="14"/>
    </row>
    <row r="1841" spans="2:5" x14ac:dyDescent="0.3">
      <c r="B1841" s="10"/>
      <c r="E1841" s="14"/>
    </row>
    <row r="1842" spans="2:5" x14ac:dyDescent="0.3">
      <c r="B1842" s="10"/>
      <c r="E1842" s="14"/>
    </row>
    <row r="1843" spans="2:5" x14ac:dyDescent="0.3">
      <c r="B1843" s="10"/>
      <c r="E1843" s="14"/>
    </row>
    <row r="1844" spans="2:5" x14ac:dyDescent="0.3">
      <c r="B1844" s="10"/>
      <c r="E1844" s="14"/>
    </row>
    <row r="1845" spans="2:5" x14ac:dyDescent="0.3">
      <c r="B1845" s="10"/>
      <c r="E1845" s="14"/>
    </row>
    <row r="1846" spans="2:5" x14ac:dyDescent="0.3">
      <c r="B1846" s="10"/>
      <c r="E1846" s="14"/>
    </row>
    <row r="1847" spans="2:5" x14ac:dyDescent="0.3">
      <c r="B1847" s="10"/>
      <c r="E1847" s="14"/>
    </row>
    <row r="1848" spans="2:5" x14ac:dyDescent="0.3">
      <c r="B1848" s="10"/>
      <c r="E1848" s="14"/>
    </row>
    <row r="1849" spans="2:5" x14ac:dyDescent="0.3">
      <c r="B1849" s="10"/>
      <c r="E1849" s="14"/>
    </row>
    <row r="1850" spans="2:5" x14ac:dyDescent="0.3">
      <c r="B1850" s="10"/>
      <c r="E1850" s="14"/>
    </row>
    <row r="1851" spans="2:5" x14ac:dyDescent="0.3">
      <c r="B1851" s="10"/>
      <c r="E1851" s="14"/>
    </row>
    <row r="1852" spans="2:5" x14ac:dyDescent="0.3">
      <c r="B1852" s="10"/>
      <c r="E1852" s="14"/>
    </row>
    <row r="1853" spans="2:5" x14ac:dyDescent="0.3">
      <c r="B1853" s="10"/>
      <c r="E1853" s="14"/>
    </row>
    <row r="1854" spans="2:5" x14ac:dyDescent="0.3">
      <c r="B1854" s="10"/>
      <c r="E1854" s="14"/>
    </row>
    <row r="1855" spans="2:5" x14ac:dyDescent="0.3">
      <c r="B1855" s="10"/>
      <c r="E1855" s="14"/>
    </row>
    <row r="1856" spans="2:5" x14ac:dyDescent="0.3">
      <c r="B1856" s="10"/>
      <c r="E1856" s="14"/>
    </row>
    <row r="1857" spans="2:5" x14ac:dyDescent="0.3">
      <c r="B1857" s="10"/>
      <c r="E1857" s="14"/>
    </row>
    <row r="1858" spans="2:5" x14ac:dyDescent="0.3">
      <c r="B1858" s="10"/>
      <c r="E1858" s="14"/>
    </row>
    <row r="1859" spans="2:5" x14ac:dyDescent="0.3">
      <c r="B1859" s="10"/>
      <c r="E1859" s="14"/>
    </row>
    <row r="1860" spans="2:5" x14ac:dyDescent="0.3">
      <c r="B1860" s="10"/>
      <c r="E1860" s="14"/>
    </row>
    <row r="1861" spans="2:5" x14ac:dyDescent="0.3">
      <c r="B1861" s="10"/>
      <c r="E1861" s="14"/>
    </row>
    <row r="1862" spans="2:5" x14ac:dyDescent="0.3">
      <c r="B1862" s="10"/>
      <c r="E1862" s="14"/>
    </row>
    <row r="1863" spans="2:5" x14ac:dyDescent="0.3">
      <c r="B1863" s="10"/>
      <c r="E1863" s="14"/>
    </row>
    <row r="1864" spans="2:5" x14ac:dyDescent="0.3">
      <c r="B1864" s="10"/>
      <c r="E1864" s="14"/>
    </row>
    <row r="1865" spans="2:5" x14ac:dyDescent="0.3">
      <c r="B1865" s="10"/>
      <c r="E1865" s="14"/>
    </row>
    <row r="1866" spans="2:5" x14ac:dyDescent="0.3">
      <c r="B1866" s="10"/>
      <c r="E1866" s="14"/>
    </row>
    <row r="1867" spans="2:5" x14ac:dyDescent="0.3">
      <c r="B1867" s="10"/>
      <c r="E1867" s="14"/>
    </row>
    <row r="1868" spans="2:5" x14ac:dyDescent="0.3">
      <c r="B1868" s="10"/>
      <c r="E1868" s="14"/>
    </row>
    <row r="1869" spans="2:5" x14ac:dyDescent="0.3">
      <c r="B1869" s="10"/>
      <c r="E1869" s="14"/>
    </row>
    <row r="1870" spans="2:5" x14ac:dyDescent="0.3">
      <c r="B1870" s="10"/>
      <c r="E1870" s="14"/>
    </row>
    <row r="1871" spans="2:5" x14ac:dyDescent="0.3">
      <c r="B1871" s="10"/>
      <c r="E1871" s="14"/>
    </row>
    <row r="1872" spans="2:5" x14ac:dyDescent="0.3">
      <c r="B1872" s="10"/>
      <c r="E1872" s="14"/>
    </row>
    <row r="1873" spans="2:5" x14ac:dyDescent="0.3">
      <c r="B1873" s="10"/>
      <c r="E1873" s="14"/>
    </row>
    <row r="1874" spans="2:5" x14ac:dyDescent="0.3">
      <c r="B1874" s="10"/>
      <c r="E1874" s="14"/>
    </row>
    <row r="1875" spans="2:5" x14ac:dyDescent="0.3">
      <c r="B1875" s="10"/>
      <c r="E1875" s="14"/>
    </row>
    <row r="1876" spans="2:5" x14ac:dyDescent="0.3">
      <c r="B1876" s="10"/>
      <c r="E1876" s="14"/>
    </row>
    <row r="1877" spans="2:5" x14ac:dyDescent="0.3">
      <c r="B1877" s="10"/>
      <c r="E1877" s="14"/>
    </row>
    <row r="1878" spans="2:5" x14ac:dyDescent="0.3">
      <c r="B1878" s="10"/>
      <c r="E1878" s="14"/>
    </row>
    <row r="1879" spans="2:5" x14ac:dyDescent="0.3">
      <c r="B1879" s="10"/>
      <c r="E1879" s="14"/>
    </row>
    <row r="1880" spans="2:5" x14ac:dyDescent="0.3">
      <c r="B1880" s="10"/>
      <c r="E1880" s="14"/>
    </row>
    <row r="1881" spans="2:5" x14ac:dyDescent="0.3">
      <c r="B1881" s="10"/>
      <c r="E1881" s="14"/>
    </row>
    <row r="1882" spans="2:5" x14ac:dyDescent="0.3">
      <c r="B1882" s="10"/>
      <c r="E1882" s="14"/>
    </row>
    <row r="1883" spans="2:5" x14ac:dyDescent="0.3">
      <c r="B1883" s="10"/>
      <c r="E1883" s="14"/>
    </row>
    <row r="1884" spans="2:5" x14ac:dyDescent="0.3">
      <c r="B1884" s="10"/>
      <c r="E1884" s="14"/>
    </row>
    <row r="1885" spans="2:5" x14ac:dyDescent="0.3">
      <c r="B1885" s="10"/>
      <c r="E1885" s="14"/>
    </row>
    <row r="1886" spans="2:5" x14ac:dyDescent="0.3">
      <c r="B1886" s="10"/>
      <c r="E1886" s="14"/>
    </row>
    <row r="1887" spans="2:5" x14ac:dyDescent="0.3">
      <c r="B1887" s="10"/>
      <c r="E1887" s="14"/>
    </row>
    <row r="1888" spans="2:5" x14ac:dyDescent="0.3">
      <c r="B1888" s="10"/>
      <c r="E1888" s="14"/>
    </row>
    <row r="1889" spans="2:5" x14ac:dyDescent="0.3">
      <c r="B1889" s="10"/>
      <c r="E1889" s="14"/>
    </row>
    <row r="1890" spans="2:5" x14ac:dyDescent="0.3">
      <c r="B1890" s="10"/>
      <c r="E1890" s="14"/>
    </row>
    <row r="1891" spans="2:5" x14ac:dyDescent="0.3">
      <c r="B1891" s="10"/>
      <c r="E1891" s="14"/>
    </row>
    <row r="1892" spans="2:5" x14ac:dyDescent="0.3">
      <c r="B1892" s="10"/>
      <c r="E1892" s="14"/>
    </row>
    <row r="1893" spans="2:5" x14ac:dyDescent="0.3">
      <c r="B1893" s="10"/>
      <c r="E1893" s="14"/>
    </row>
    <row r="1894" spans="2:5" x14ac:dyDescent="0.3">
      <c r="B1894" s="10"/>
      <c r="E1894" s="14"/>
    </row>
    <row r="1895" spans="2:5" x14ac:dyDescent="0.3">
      <c r="B1895" s="10"/>
      <c r="E1895" s="14"/>
    </row>
    <row r="1896" spans="2:5" x14ac:dyDescent="0.3">
      <c r="B1896" s="10"/>
      <c r="E1896" s="14"/>
    </row>
    <row r="1897" spans="2:5" x14ac:dyDescent="0.3">
      <c r="B1897" s="10"/>
      <c r="E1897" s="14"/>
    </row>
    <row r="1898" spans="2:5" x14ac:dyDescent="0.3">
      <c r="B1898" s="10"/>
      <c r="E1898" s="14"/>
    </row>
    <row r="1899" spans="2:5" x14ac:dyDescent="0.3">
      <c r="B1899" s="10"/>
      <c r="E1899" s="14"/>
    </row>
    <row r="1900" spans="2:5" x14ac:dyDescent="0.3">
      <c r="B1900" s="10"/>
      <c r="E1900" s="14"/>
    </row>
    <row r="1901" spans="2:5" x14ac:dyDescent="0.3">
      <c r="B1901" s="10"/>
      <c r="E1901" s="14"/>
    </row>
    <row r="1902" spans="2:5" x14ac:dyDescent="0.3">
      <c r="B1902" s="10"/>
      <c r="E1902" s="14"/>
    </row>
    <row r="1903" spans="2:5" x14ac:dyDescent="0.3">
      <c r="B1903" s="10"/>
      <c r="E1903" s="14"/>
    </row>
    <row r="1904" spans="2:5" x14ac:dyDescent="0.3">
      <c r="B1904" s="10"/>
      <c r="E1904" s="14"/>
    </row>
    <row r="1905" spans="2:5" x14ac:dyDescent="0.3">
      <c r="B1905" s="10"/>
      <c r="E1905" s="14"/>
    </row>
    <row r="1906" spans="2:5" x14ac:dyDescent="0.3">
      <c r="B1906" s="10"/>
      <c r="E1906" s="14"/>
    </row>
    <row r="1907" spans="2:5" x14ac:dyDescent="0.3">
      <c r="B1907" s="10"/>
      <c r="E1907" s="14"/>
    </row>
    <row r="1908" spans="2:5" x14ac:dyDescent="0.3">
      <c r="B1908" s="10"/>
      <c r="E1908" s="14"/>
    </row>
    <row r="1909" spans="2:5" x14ac:dyDescent="0.3">
      <c r="B1909" s="10"/>
      <c r="E1909" s="14"/>
    </row>
    <row r="1910" spans="2:5" x14ac:dyDescent="0.3">
      <c r="B1910" s="10"/>
      <c r="E1910" s="14"/>
    </row>
    <row r="1911" spans="2:5" x14ac:dyDescent="0.3">
      <c r="B1911" s="10"/>
      <c r="E1911" s="14"/>
    </row>
    <row r="1912" spans="2:5" x14ac:dyDescent="0.3">
      <c r="B1912" s="10"/>
      <c r="E1912" s="14"/>
    </row>
    <row r="1913" spans="2:5" x14ac:dyDescent="0.3">
      <c r="B1913" s="10"/>
      <c r="E1913" s="14"/>
    </row>
    <row r="1914" spans="2:5" x14ac:dyDescent="0.3">
      <c r="B1914" s="10"/>
      <c r="E1914" s="14"/>
    </row>
    <row r="1915" spans="2:5" x14ac:dyDescent="0.3">
      <c r="B1915" s="10"/>
      <c r="E1915" s="14"/>
    </row>
    <row r="1916" spans="2:5" x14ac:dyDescent="0.3">
      <c r="B1916" s="10"/>
      <c r="E1916" s="14"/>
    </row>
    <row r="1917" spans="2:5" x14ac:dyDescent="0.3">
      <c r="B1917" s="10"/>
      <c r="E1917" s="14"/>
    </row>
    <row r="1918" spans="2:5" x14ac:dyDescent="0.3">
      <c r="B1918" s="10"/>
      <c r="E1918" s="14"/>
    </row>
    <row r="1919" spans="2:5" x14ac:dyDescent="0.3">
      <c r="B1919" s="10"/>
      <c r="E1919" s="14"/>
    </row>
    <row r="1920" spans="2:5" x14ac:dyDescent="0.3">
      <c r="B1920" s="10"/>
      <c r="E1920" s="14"/>
    </row>
    <row r="1921" spans="2:5" x14ac:dyDescent="0.3">
      <c r="B1921" s="10"/>
      <c r="E1921" s="14"/>
    </row>
    <row r="1922" spans="2:5" x14ac:dyDescent="0.3">
      <c r="B1922" s="10"/>
      <c r="E1922" s="14"/>
    </row>
    <row r="1923" spans="2:5" x14ac:dyDescent="0.3">
      <c r="B1923" s="10"/>
      <c r="E1923" s="14"/>
    </row>
    <row r="1924" spans="2:5" x14ac:dyDescent="0.3">
      <c r="B1924" s="10"/>
      <c r="E1924" s="14"/>
    </row>
    <row r="1925" spans="2:5" x14ac:dyDescent="0.3">
      <c r="B1925" s="10"/>
      <c r="E1925" s="14"/>
    </row>
    <row r="1926" spans="2:5" x14ac:dyDescent="0.3">
      <c r="B1926" s="10"/>
      <c r="E1926" s="14"/>
    </row>
    <row r="1927" spans="2:5" x14ac:dyDescent="0.3">
      <c r="B1927" s="10"/>
      <c r="E1927" s="14"/>
    </row>
    <row r="1928" spans="2:5" x14ac:dyDescent="0.3">
      <c r="B1928" s="10"/>
      <c r="E1928" s="14"/>
    </row>
    <row r="1929" spans="2:5" x14ac:dyDescent="0.3">
      <c r="B1929" s="10"/>
      <c r="E1929" s="14"/>
    </row>
    <row r="1930" spans="2:5" x14ac:dyDescent="0.3">
      <c r="B1930" s="10"/>
      <c r="E1930" s="14"/>
    </row>
    <row r="1931" spans="2:5" x14ac:dyDescent="0.3">
      <c r="B1931" s="10"/>
      <c r="E1931" s="14"/>
    </row>
    <row r="1932" spans="2:5" x14ac:dyDescent="0.3">
      <c r="B1932" s="10"/>
      <c r="E1932" s="14"/>
    </row>
    <row r="1933" spans="2:5" x14ac:dyDescent="0.3">
      <c r="B1933" s="10"/>
      <c r="E1933" s="14"/>
    </row>
    <row r="1934" spans="2:5" x14ac:dyDescent="0.3">
      <c r="B1934" s="10"/>
      <c r="E1934" s="14"/>
    </row>
    <row r="1935" spans="2:5" x14ac:dyDescent="0.3">
      <c r="B1935" s="10"/>
      <c r="E1935" s="14"/>
    </row>
    <row r="1936" spans="2:5" x14ac:dyDescent="0.3">
      <c r="B1936" s="10"/>
      <c r="E1936" s="14"/>
    </row>
    <row r="1937" spans="2:5" x14ac:dyDescent="0.3">
      <c r="B1937" s="10"/>
      <c r="E1937" s="14"/>
    </row>
    <row r="1938" spans="2:5" x14ac:dyDescent="0.3">
      <c r="B1938" s="10"/>
      <c r="E1938" s="14"/>
    </row>
    <row r="1939" spans="2:5" x14ac:dyDescent="0.3">
      <c r="B1939" s="10"/>
      <c r="E1939" s="14"/>
    </row>
    <row r="1940" spans="2:5" x14ac:dyDescent="0.3">
      <c r="B1940" s="10"/>
      <c r="E1940" s="14"/>
    </row>
    <row r="1941" spans="2:5" x14ac:dyDescent="0.3">
      <c r="B1941" s="10"/>
      <c r="E1941" s="14"/>
    </row>
    <row r="1942" spans="2:5" x14ac:dyDescent="0.3">
      <c r="B1942" s="10"/>
      <c r="E1942" s="14"/>
    </row>
    <row r="1943" spans="2:5" x14ac:dyDescent="0.3">
      <c r="B1943" s="10"/>
      <c r="E1943" s="14"/>
    </row>
    <row r="1944" spans="2:5" x14ac:dyDescent="0.3">
      <c r="B1944" s="10"/>
      <c r="E1944" s="14"/>
    </row>
    <row r="1945" spans="2:5" x14ac:dyDescent="0.3">
      <c r="B1945" s="10"/>
      <c r="E1945" s="14"/>
    </row>
    <row r="1946" spans="2:5" x14ac:dyDescent="0.3">
      <c r="B1946" s="10"/>
      <c r="E1946" s="14"/>
    </row>
    <row r="1947" spans="2:5" x14ac:dyDescent="0.3">
      <c r="B1947" s="10"/>
      <c r="E1947" s="14"/>
    </row>
    <row r="1948" spans="2:5" x14ac:dyDescent="0.3">
      <c r="B1948" s="10"/>
      <c r="E1948" s="14"/>
    </row>
    <row r="1949" spans="2:5" x14ac:dyDescent="0.3">
      <c r="B1949" s="10"/>
      <c r="E1949" s="14"/>
    </row>
    <row r="1950" spans="2:5" x14ac:dyDescent="0.3">
      <c r="B1950" s="10"/>
      <c r="E1950" s="14"/>
    </row>
    <row r="1951" spans="2:5" x14ac:dyDescent="0.3">
      <c r="B1951" s="10"/>
      <c r="E1951" s="14"/>
    </row>
    <row r="1952" spans="2:5" x14ac:dyDescent="0.3">
      <c r="B1952" s="10"/>
      <c r="E1952" s="14"/>
    </row>
    <row r="1953" spans="2:5" x14ac:dyDescent="0.3">
      <c r="B1953" s="10"/>
      <c r="E1953" s="14"/>
    </row>
    <row r="1954" spans="2:5" x14ac:dyDescent="0.3">
      <c r="B1954" s="10"/>
      <c r="E1954" s="14"/>
    </row>
    <row r="1955" spans="2:5" x14ac:dyDescent="0.3">
      <c r="B1955" s="10"/>
      <c r="E1955" s="14"/>
    </row>
    <row r="1956" spans="2:5" x14ac:dyDescent="0.3">
      <c r="B1956" s="10"/>
      <c r="E1956" s="14"/>
    </row>
    <row r="1957" spans="2:5" x14ac:dyDescent="0.3">
      <c r="B1957" s="10"/>
      <c r="E1957" s="14"/>
    </row>
    <row r="1958" spans="2:5" x14ac:dyDescent="0.3">
      <c r="B1958" s="10"/>
      <c r="E1958" s="14"/>
    </row>
    <row r="1959" spans="2:5" x14ac:dyDescent="0.3">
      <c r="B1959" s="10"/>
      <c r="E1959" s="14"/>
    </row>
    <row r="1960" spans="2:5" x14ac:dyDescent="0.3">
      <c r="B1960" s="10"/>
      <c r="E1960" s="14"/>
    </row>
    <row r="1961" spans="2:5" x14ac:dyDescent="0.3">
      <c r="B1961" s="10"/>
      <c r="E1961" s="14"/>
    </row>
    <row r="1962" spans="2:5" x14ac:dyDescent="0.3">
      <c r="B1962" s="10"/>
      <c r="E1962" s="14"/>
    </row>
    <row r="1963" spans="2:5" x14ac:dyDescent="0.3">
      <c r="B1963" s="10"/>
      <c r="E1963" s="14"/>
    </row>
    <row r="1964" spans="2:5" x14ac:dyDescent="0.3">
      <c r="B1964" s="10"/>
      <c r="E1964" s="14"/>
    </row>
    <row r="1965" spans="2:5" x14ac:dyDescent="0.3">
      <c r="B1965" s="10"/>
      <c r="E1965" s="14"/>
    </row>
    <row r="1966" spans="2:5" x14ac:dyDescent="0.3">
      <c r="B1966" s="10"/>
      <c r="E1966" s="14"/>
    </row>
    <row r="1967" spans="2:5" x14ac:dyDescent="0.3">
      <c r="B1967" s="10"/>
      <c r="E1967" s="14"/>
    </row>
    <row r="1968" spans="2:5" x14ac:dyDescent="0.3">
      <c r="B1968" s="10"/>
      <c r="E1968" s="14"/>
    </row>
    <row r="1969" spans="2:5" x14ac:dyDescent="0.3">
      <c r="B1969" s="10"/>
      <c r="E1969" s="14"/>
    </row>
    <row r="1970" spans="2:5" x14ac:dyDescent="0.3">
      <c r="B1970" s="10"/>
      <c r="E1970" s="14"/>
    </row>
    <row r="1971" spans="2:5" x14ac:dyDescent="0.3">
      <c r="B1971" s="10"/>
      <c r="E1971" s="14"/>
    </row>
    <row r="1972" spans="2:5" x14ac:dyDescent="0.3">
      <c r="B1972" s="10"/>
      <c r="E1972" s="14"/>
    </row>
    <row r="1973" spans="2:5" x14ac:dyDescent="0.3">
      <c r="B1973" s="10"/>
      <c r="E1973" s="14"/>
    </row>
    <row r="1974" spans="2:5" x14ac:dyDescent="0.3">
      <c r="B1974" s="10"/>
      <c r="E1974" s="14"/>
    </row>
    <row r="1975" spans="2:5" x14ac:dyDescent="0.3">
      <c r="B1975" s="10"/>
      <c r="E1975" s="14"/>
    </row>
    <row r="1976" spans="2:5" x14ac:dyDescent="0.3">
      <c r="B1976" s="10"/>
      <c r="E1976" s="14"/>
    </row>
    <row r="1977" spans="2:5" x14ac:dyDescent="0.3">
      <c r="B1977" s="10"/>
      <c r="E1977" s="14"/>
    </row>
    <row r="1978" spans="2:5" x14ac:dyDescent="0.3">
      <c r="B1978" s="10"/>
      <c r="E1978" s="14"/>
    </row>
    <row r="1979" spans="2:5" x14ac:dyDescent="0.3">
      <c r="B1979" s="10"/>
      <c r="E1979" s="14"/>
    </row>
    <row r="1980" spans="2:5" x14ac:dyDescent="0.3">
      <c r="B1980" s="10"/>
      <c r="E1980" s="14"/>
    </row>
    <row r="1981" spans="2:5" x14ac:dyDescent="0.3">
      <c r="B1981" s="10"/>
      <c r="E1981" s="14"/>
    </row>
    <row r="1982" spans="2:5" x14ac:dyDescent="0.3">
      <c r="B1982" s="10"/>
      <c r="E1982" s="14"/>
    </row>
    <row r="1983" spans="2:5" x14ac:dyDescent="0.3">
      <c r="B1983" s="10"/>
      <c r="E1983" s="14"/>
    </row>
    <row r="1984" spans="2:5" x14ac:dyDescent="0.3">
      <c r="B1984" s="10"/>
      <c r="E1984" s="14"/>
    </row>
    <row r="1985" spans="2:5" x14ac:dyDescent="0.3">
      <c r="B1985" s="10"/>
      <c r="E1985" s="14"/>
    </row>
    <row r="1986" spans="2:5" x14ac:dyDescent="0.3">
      <c r="B1986" s="10"/>
      <c r="E1986" s="14"/>
    </row>
    <row r="1987" spans="2:5" x14ac:dyDescent="0.3">
      <c r="B1987" s="10"/>
      <c r="E1987" s="14"/>
    </row>
    <row r="1988" spans="2:5" x14ac:dyDescent="0.3">
      <c r="B1988" s="10"/>
      <c r="E1988" s="14"/>
    </row>
    <row r="1989" spans="2:5" x14ac:dyDescent="0.3">
      <c r="B1989" s="10"/>
      <c r="E1989" s="14"/>
    </row>
    <row r="1990" spans="2:5" x14ac:dyDescent="0.3">
      <c r="B1990" s="10"/>
      <c r="E1990" s="14"/>
    </row>
    <row r="1991" spans="2:5" x14ac:dyDescent="0.3">
      <c r="B1991" s="10"/>
      <c r="E1991" s="14"/>
    </row>
    <row r="1992" spans="2:5" x14ac:dyDescent="0.3">
      <c r="B1992" s="10"/>
      <c r="E1992" s="14"/>
    </row>
    <row r="1993" spans="2:5" x14ac:dyDescent="0.3">
      <c r="B1993" s="10"/>
      <c r="E1993" s="14"/>
    </row>
    <row r="1994" spans="2:5" x14ac:dyDescent="0.3">
      <c r="B1994" s="10"/>
      <c r="E1994" s="14"/>
    </row>
    <row r="1995" spans="2:5" x14ac:dyDescent="0.3">
      <c r="B1995" s="10"/>
      <c r="E1995" s="14"/>
    </row>
    <row r="1996" spans="2:5" x14ac:dyDescent="0.3">
      <c r="B1996" s="10"/>
      <c r="E1996" s="14"/>
    </row>
    <row r="1997" spans="2:5" x14ac:dyDescent="0.3">
      <c r="B1997" s="10"/>
      <c r="E1997" s="14"/>
    </row>
    <row r="1998" spans="2:5" x14ac:dyDescent="0.3">
      <c r="B1998" s="10"/>
      <c r="E1998" s="14"/>
    </row>
    <row r="1999" spans="2:5" x14ac:dyDescent="0.3">
      <c r="B1999" s="10"/>
      <c r="E1999" s="14"/>
    </row>
  </sheetData>
  <pageMargins left="0.7" right="0.7" top="0.75" bottom="0.75" header="0.3" footer="0.3"/>
  <pageSetup orientation="portrait" horizontalDpi="4294967295" verticalDpi="4294967295"/>
  <extLst>
    <ext xmlns:x14="http://schemas.microsoft.com/office/spreadsheetml/2009/9/main" uri="{CCE6A557-97BC-4b89-ADB6-D9C93CAAB3DF}">
      <x14:dataValidations xmlns:xm="http://schemas.microsoft.com/office/excel/2006/main" count="5">
        <x14:dataValidation type="list" allowBlank="1" showInputMessage="1" showErrorMessage="1" xr:uid="{2CB9AFC7-1319-4F38-8035-13A542D9B728}">
          <x14:formula1>
            <xm:f>BOQ!$C$2:$C$999</xm:f>
          </x14:formula1>
          <xm:sqref>D2:D1048576</xm:sqref>
        </x14:dataValidation>
        <x14:dataValidation type="list" allowBlank="1" showInputMessage="1" showErrorMessage="1" xr:uid="{4E00A932-4487-4FBE-AA09-9B551200EB81}">
          <x14:formula1>
            <xm:f>BOQ!$A$2:$A$999</xm:f>
          </x14:formula1>
          <xm:sqref>B2:B1048576</xm:sqref>
        </x14:dataValidation>
        <x14:dataValidation type="list" allowBlank="1" showInputMessage="1" showErrorMessage="1" xr:uid="{0D1BF0E3-288C-4942-9536-219A43531D0F}">
          <x14:formula1>
            <xm:f>BOQ!$B$2:$B$999</xm:f>
          </x14:formula1>
          <xm:sqref>C2:C1048576</xm:sqref>
        </x14:dataValidation>
        <x14:dataValidation type="list" allowBlank="1" showInputMessage="1" showErrorMessage="1" xr:uid="{FB31A41C-22B6-49CE-9884-6F16726FDB17}">
          <x14:formula1>
            <xm:f>BOQ!$D$2:$D$999</xm:f>
          </x14:formula1>
          <xm:sqref>E2:E1048576</xm:sqref>
        </x14:dataValidation>
        <x14:dataValidation type="list" allowBlank="1" showInputMessage="1" showErrorMessage="1" xr:uid="{0FBC16E1-52C5-4198-B3DF-E0EE3EA79617}">
          <x14:formula1>
            <xm:f>BOQ!$E$2:$E$999</xm:f>
          </x14:formula1>
          <xm:sqref>F2:F1048576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C4EC7-B56B-412E-BC14-0D619A27B9B1}">
  <sheetPr codeName="Sheet4"/>
  <dimension ref="A1:T551"/>
  <sheetViews>
    <sheetView zoomScale="68" workbookViewId="0">
      <pane ySplit="1" topLeftCell="A117" activePane="bottomLeft" state="frozen"/>
      <selection pane="bottomLeft" activeCell="C119" sqref="C119"/>
    </sheetView>
  </sheetViews>
  <sheetFormatPr defaultRowHeight="14.4" x14ac:dyDescent="0.3"/>
  <cols>
    <col min="1" max="1" width="8.88671875" style="1"/>
    <col min="2" max="2" width="67" style="2" customWidth="1"/>
    <col min="3" max="3" width="22.33203125" style="10" customWidth="1"/>
    <col min="4" max="4" width="23.44140625" style="10" customWidth="1"/>
    <col min="5" max="6" width="10.6640625" style="2" customWidth="1"/>
    <col min="7" max="8" width="13.88671875" style="12" bestFit="1" customWidth="1"/>
    <col min="9" max="9" width="10.6640625" style="3" customWidth="1"/>
    <col min="10" max="20" width="8.88671875" style="3"/>
    <col min="21" max="16384" width="8.88671875" style="1"/>
  </cols>
  <sheetData>
    <row r="1" spans="1:20" ht="43.2" x14ac:dyDescent="0.3">
      <c r="A1" s="4" t="s">
        <v>0</v>
      </c>
      <c r="B1" s="4" t="s">
        <v>1</v>
      </c>
      <c r="C1" s="4" t="s">
        <v>2</v>
      </c>
      <c r="D1" s="4" t="s">
        <v>3</v>
      </c>
      <c r="E1" s="4" t="s">
        <v>4</v>
      </c>
      <c r="F1" s="4" t="s">
        <v>5</v>
      </c>
      <c r="G1" s="11" t="s">
        <v>6</v>
      </c>
      <c r="H1" s="11" t="s">
        <v>7</v>
      </c>
      <c r="I1" s="8" t="s">
        <v>280</v>
      </c>
      <c r="J1" s="8" t="s">
        <v>8</v>
      </c>
      <c r="K1" s="8" t="s">
        <v>9</v>
      </c>
      <c r="L1" s="8" t="s">
        <v>10</v>
      </c>
      <c r="M1" s="8" t="s">
        <v>11</v>
      </c>
      <c r="N1" s="8" t="s">
        <v>12</v>
      </c>
      <c r="O1" s="8" t="s">
        <v>13</v>
      </c>
      <c r="P1" s="8" t="s">
        <v>14</v>
      </c>
      <c r="Q1" s="8" t="s">
        <v>15</v>
      </c>
      <c r="R1" s="8" t="s">
        <v>16</v>
      </c>
      <c r="S1" s="5" t="s">
        <v>17</v>
      </c>
      <c r="T1" s="6" t="s">
        <v>18</v>
      </c>
    </row>
    <row r="2" spans="1:20" ht="57.6" x14ac:dyDescent="0.3">
      <c r="B2" s="2" t="s">
        <v>19</v>
      </c>
      <c r="S2" s="7">
        <f t="shared" ref="S2:S65" si="0">SUM(I2:R2)</f>
        <v>0</v>
      </c>
      <c r="T2" s="7">
        <f t="shared" ref="T2:T65" si="1">F2-S2</f>
        <v>0</v>
      </c>
    </row>
    <row r="3" spans="1:20" ht="144" x14ac:dyDescent="0.3">
      <c r="A3" s="1">
        <v>12.01</v>
      </c>
      <c r="B3" s="2" t="s">
        <v>20</v>
      </c>
      <c r="C3" s="10" t="s">
        <v>21</v>
      </c>
      <c r="D3" s="10" t="s">
        <v>22</v>
      </c>
      <c r="E3" s="2" t="s">
        <v>23</v>
      </c>
      <c r="F3" s="2">
        <v>7</v>
      </c>
      <c r="G3" s="12">
        <v>65000</v>
      </c>
      <c r="H3" s="12">
        <f>F3*G3</f>
        <v>455000</v>
      </c>
      <c r="M3" s="3">
        <v>7</v>
      </c>
      <c r="S3" s="7">
        <f t="shared" si="0"/>
        <v>7</v>
      </c>
      <c r="T3" s="7">
        <f t="shared" si="1"/>
        <v>0</v>
      </c>
    </row>
    <row r="4" spans="1:20" ht="144" x14ac:dyDescent="0.3">
      <c r="A4" s="1">
        <v>12.02</v>
      </c>
      <c r="B4" s="2" t="s">
        <v>24</v>
      </c>
      <c r="C4" s="10" t="s">
        <v>21</v>
      </c>
      <c r="D4" s="10" t="s">
        <v>25</v>
      </c>
      <c r="E4" s="2" t="s">
        <v>23</v>
      </c>
      <c r="F4" s="2">
        <v>30</v>
      </c>
      <c r="G4" s="12">
        <v>77000</v>
      </c>
      <c r="H4" s="12">
        <f t="shared" ref="H4:H67" si="2">F4*G4</f>
        <v>2310000</v>
      </c>
      <c r="S4" s="7">
        <f t="shared" si="0"/>
        <v>0</v>
      </c>
      <c r="T4" s="7">
        <f t="shared" si="1"/>
        <v>30</v>
      </c>
    </row>
    <row r="5" spans="1:20" x14ac:dyDescent="0.3">
      <c r="A5" s="1">
        <v>12.03</v>
      </c>
      <c r="B5" s="2" t="s">
        <v>26</v>
      </c>
      <c r="C5" s="10" t="s">
        <v>27</v>
      </c>
      <c r="E5" s="2" t="s">
        <v>23</v>
      </c>
      <c r="F5" s="2">
        <v>3</v>
      </c>
      <c r="G5" s="12">
        <v>19900</v>
      </c>
      <c r="H5" s="12">
        <f t="shared" si="2"/>
        <v>59700</v>
      </c>
      <c r="S5" s="7">
        <f t="shared" si="0"/>
        <v>0</v>
      </c>
      <c r="T5" s="7">
        <f t="shared" si="1"/>
        <v>3</v>
      </c>
    </row>
    <row r="6" spans="1:20" ht="144" x14ac:dyDescent="0.3">
      <c r="A6" s="1">
        <v>12.04</v>
      </c>
      <c r="B6" s="2" t="s">
        <v>28</v>
      </c>
      <c r="C6" s="10" t="s">
        <v>21</v>
      </c>
      <c r="D6" s="10" t="s">
        <v>29</v>
      </c>
      <c r="E6" s="2" t="s">
        <v>23</v>
      </c>
      <c r="F6" s="2">
        <v>9</v>
      </c>
      <c r="G6" s="12">
        <v>199000</v>
      </c>
      <c r="H6" s="12">
        <f t="shared" si="2"/>
        <v>1791000</v>
      </c>
      <c r="S6" s="7">
        <f t="shared" si="0"/>
        <v>0</v>
      </c>
      <c r="T6" s="7">
        <f t="shared" si="1"/>
        <v>9</v>
      </c>
    </row>
    <row r="7" spans="1:20" x14ac:dyDescent="0.3">
      <c r="A7" s="1">
        <v>12.05</v>
      </c>
      <c r="B7" s="2" t="s">
        <v>30</v>
      </c>
      <c r="C7" s="10" t="s">
        <v>27</v>
      </c>
      <c r="E7" s="2" t="s">
        <v>23</v>
      </c>
      <c r="F7" s="2">
        <v>6</v>
      </c>
      <c r="G7" s="12">
        <v>19900</v>
      </c>
      <c r="H7" s="12">
        <f t="shared" si="2"/>
        <v>119400</v>
      </c>
      <c r="S7" s="7">
        <f t="shared" si="0"/>
        <v>0</v>
      </c>
      <c r="T7" s="7">
        <f t="shared" si="1"/>
        <v>6</v>
      </c>
    </row>
    <row r="8" spans="1:20" ht="144" x14ac:dyDescent="0.3">
      <c r="A8" s="1">
        <v>12.06</v>
      </c>
      <c r="B8" s="2" t="s">
        <v>31</v>
      </c>
      <c r="C8" s="10" t="s">
        <v>21</v>
      </c>
      <c r="D8" s="10" t="s">
        <v>32</v>
      </c>
      <c r="E8" s="2" t="s">
        <v>23</v>
      </c>
      <c r="F8" s="2">
        <v>3</v>
      </c>
      <c r="G8" s="12">
        <v>255000</v>
      </c>
      <c r="H8" s="12">
        <f t="shared" si="2"/>
        <v>765000</v>
      </c>
      <c r="S8" s="7">
        <f t="shared" si="0"/>
        <v>0</v>
      </c>
      <c r="T8" s="7">
        <f t="shared" si="1"/>
        <v>3</v>
      </c>
    </row>
    <row r="9" spans="1:20" ht="144" x14ac:dyDescent="0.3">
      <c r="A9" s="1">
        <v>12.07</v>
      </c>
      <c r="B9" s="2" t="s">
        <v>33</v>
      </c>
      <c r="C9" s="10" t="s">
        <v>21</v>
      </c>
      <c r="D9" s="10" t="s">
        <v>34</v>
      </c>
      <c r="E9" s="2" t="s">
        <v>23</v>
      </c>
      <c r="F9" s="2">
        <v>7</v>
      </c>
      <c r="G9" s="12">
        <v>655000</v>
      </c>
      <c r="H9" s="12">
        <f t="shared" si="2"/>
        <v>4585000</v>
      </c>
      <c r="S9" s="7">
        <f t="shared" si="0"/>
        <v>0</v>
      </c>
      <c r="T9" s="7">
        <f t="shared" si="1"/>
        <v>7</v>
      </c>
    </row>
    <row r="10" spans="1:20" x14ac:dyDescent="0.3">
      <c r="A10" s="1">
        <v>12.08</v>
      </c>
      <c r="B10" s="2" t="s">
        <v>35</v>
      </c>
      <c r="C10" s="10" t="s">
        <v>27</v>
      </c>
      <c r="E10" s="2" t="s">
        <v>23</v>
      </c>
      <c r="F10" s="2">
        <v>7</v>
      </c>
      <c r="G10" s="12">
        <v>26500</v>
      </c>
      <c r="H10" s="12">
        <f t="shared" si="2"/>
        <v>185500</v>
      </c>
      <c r="S10" s="7">
        <f t="shared" si="0"/>
        <v>0</v>
      </c>
      <c r="T10" s="7">
        <f t="shared" si="1"/>
        <v>7</v>
      </c>
    </row>
    <row r="11" spans="1:20" ht="144" x14ac:dyDescent="0.3">
      <c r="A11" s="1">
        <v>12.09</v>
      </c>
      <c r="B11" s="2" t="s">
        <v>36</v>
      </c>
      <c r="C11" s="10" t="s">
        <v>21</v>
      </c>
      <c r="D11" s="10" t="s">
        <v>37</v>
      </c>
      <c r="E11" s="2" t="s">
        <v>23</v>
      </c>
      <c r="F11" s="2">
        <v>2</v>
      </c>
      <c r="G11" s="12">
        <v>11400000</v>
      </c>
      <c r="H11" s="12">
        <f t="shared" si="2"/>
        <v>22800000</v>
      </c>
      <c r="S11" s="7">
        <f t="shared" si="0"/>
        <v>0</v>
      </c>
      <c r="T11" s="7">
        <f t="shared" si="1"/>
        <v>2</v>
      </c>
    </row>
    <row r="12" spans="1:20" ht="86.4" x14ac:dyDescent="0.3">
      <c r="A12" s="1">
        <v>12.1</v>
      </c>
      <c r="B12" s="2" t="s">
        <v>38</v>
      </c>
      <c r="C12" s="10" t="s">
        <v>39</v>
      </c>
      <c r="D12" s="10" t="s">
        <v>40</v>
      </c>
      <c r="E12" s="2" t="s">
        <v>23</v>
      </c>
      <c r="F12" s="2">
        <v>148</v>
      </c>
      <c r="G12" s="12">
        <v>12000</v>
      </c>
      <c r="H12" s="12">
        <f t="shared" si="2"/>
        <v>1776000</v>
      </c>
      <c r="S12" s="7">
        <f t="shared" si="0"/>
        <v>0</v>
      </c>
      <c r="T12" s="7">
        <f t="shared" si="1"/>
        <v>148</v>
      </c>
    </row>
    <row r="13" spans="1:20" ht="115.2" x14ac:dyDescent="0.3">
      <c r="A13" s="1">
        <v>12.11</v>
      </c>
      <c r="B13" s="2" t="s">
        <v>41</v>
      </c>
      <c r="C13" s="10" t="s">
        <v>39</v>
      </c>
      <c r="D13" s="10" t="s">
        <v>42</v>
      </c>
      <c r="E13" s="2" t="s">
        <v>23</v>
      </c>
      <c r="F13" s="2">
        <v>9</v>
      </c>
      <c r="G13" s="12">
        <v>65000</v>
      </c>
      <c r="H13" s="12">
        <f t="shared" si="2"/>
        <v>585000</v>
      </c>
      <c r="S13" s="7">
        <f t="shared" si="0"/>
        <v>0</v>
      </c>
      <c r="T13" s="7">
        <f t="shared" si="1"/>
        <v>9</v>
      </c>
    </row>
    <row r="14" spans="1:20" ht="187.2" x14ac:dyDescent="0.3">
      <c r="A14" s="1">
        <v>12.12</v>
      </c>
      <c r="B14" s="2" t="s">
        <v>43</v>
      </c>
      <c r="C14" s="10" t="s">
        <v>44</v>
      </c>
      <c r="D14" s="10" t="s">
        <v>45</v>
      </c>
      <c r="E14" s="2" t="s">
        <v>23</v>
      </c>
      <c r="F14" s="2">
        <v>19</v>
      </c>
      <c r="G14" s="12">
        <v>85000</v>
      </c>
      <c r="H14" s="12">
        <f t="shared" si="2"/>
        <v>1615000</v>
      </c>
      <c r="S14" s="7">
        <f t="shared" si="0"/>
        <v>0</v>
      </c>
      <c r="T14" s="7">
        <f t="shared" si="1"/>
        <v>19</v>
      </c>
    </row>
    <row r="15" spans="1:20" ht="86.4" x14ac:dyDescent="0.3">
      <c r="A15" s="1">
        <v>12.13</v>
      </c>
      <c r="B15" s="2" t="s">
        <v>46</v>
      </c>
      <c r="C15" s="10" t="s">
        <v>47</v>
      </c>
      <c r="D15" s="10" t="s">
        <v>48</v>
      </c>
      <c r="E15" s="2" t="s">
        <v>23</v>
      </c>
      <c r="F15" s="2">
        <v>12</v>
      </c>
      <c r="G15" s="12">
        <v>224000</v>
      </c>
      <c r="H15" s="12">
        <f t="shared" si="2"/>
        <v>2688000</v>
      </c>
      <c r="S15" s="7">
        <f t="shared" si="0"/>
        <v>0</v>
      </c>
      <c r="T15" s="7">
        <f t="shared" si="1"/>
        <v>12</v>
      </c>
    </row>
    <row r="16" spans="1:20" ht="86.4" x14ac:dyDescent="0.3">
      <c r="A16" s="1">
        <v>12.14</v>
      </c>
      <c r="B16" s="2" t="s">
        <v>49</v>
      </c>
      <c r="C16" s="10" t="s">
        <v>44</v>
      </c>
      <c r="D16" s="10" t="s">
        <v>50</v>
      </c>
      <c r="E16" s="2" t="s">
        <v>23</v>
      </c>
      <c r="F16" s="2">
        <v>7</v>
      </c>
      <c r="G16" s="12">
        <v>9800</v>
      </c>
      <c r="H16" s="12">
        <f t="shared" si="2"/>
        <v>68600</v>
      </c>
      <c r="S16" s="7">
        <f t="shared" si="0"/>
        <v>0</v>
      </c>
      <c r="T16" s="7">
        <f t="shared" si="1"/>
        <v>7</v>
      </c>
    </row>
    <row r="17" spans="1:20" ht="331.2" x14ac:dyDescent="0.3">
      <c r="A17" s="1">
        <v>12.15</v>
      </c>
      <c r="B17" s="2" t="s">
        <v>51</v>
      </c>
      <c r="C17" s="10" t="s">
        <v>52</v>
      </c>
      <c r="D17" s="10" t="s">
        <v>53</v>
      </c>
      <c r="E17" s="2" t="s">
        <v>23</v>
      </c>
      <c r="F17" s="2">
        <v>9</v>
      </c>
      <c r="G17" s="12">
        <v>1146000</v>
      </c>
      <c r="H17" s="12">
        <f t="shared" si="2"/>
        <v>10314000</v>
      </c>
      <c r="S17" s="7">
        <f t="shared" si="0"/>
        <v>0</v>
      </c>
      <c r="T17" s="7">
        <f t="shared" si="1"/>
        <v>9</v>
      </c>
    </row>
    <row r="18" spans="1:20" ht="72" x14ac:dyDescent="0.3">
      <c r="A18" s="1">
        <v>12.16</v>
      </c>
      <c r="B18" s="2" t="s">
        <v>54</v>
      </c>
      <c r="C18" s="10" t="s">
        <v>55</v>
      </c>
      <c r="D18" s="10" t="s">
        <v>56</v>
      </c>
      <c r="E18" s="2" t="s">
        <v>23</v>
      </c>
      <c r="F18" s="2">
        <v>11</v>
      </c>
      <c r="G18" s="12">
        <v>27000</v>
      </c>
      <c r="H18" s="12">
        <f t="shared" si="2"/>
        <v>297000</v>
      </c>
      <c r="S18" s="7">
        <f t="shared" si="0"/>
        <v>0</v>
      </c>
      <c r="T18" s="7">
        <f t="shared" si="1"/>
        <v>11</v>
      </c>
    </row>
    <row r="19" spans="1:20" ht="28.8" x14ac:dyDescent="0.3">
      <c r="A19" s="1">
        <v>12.17</v>
      </c>
      <c r="B19" s="2" t="s">
        <v>57</v>
      </c>
      <c r="C19" s="10" t="s">
        <v>58</v>
      </c>
      <c r="E19" s="2" t="s">
        <v>23</v>
      </c>
      <c r="F19" s="2">
        <v>4</v>
      </c>
      <c r="G19" s="12">
        <v>35000</v>
      </c>
      <c r="H19" s="12">
        <f t="shared" si="2"/>
        <v>140000</v>
      </c>
      <c r="S19" s="7">
        <f t="shared" si="0"/>
        <v>0</v>
      </c>
      <c r="T19" s="7">
        <f t="shared" si="1"/>
        <v>4</v>
      </c>
    </row>
    <row r="20" spans="1:20" ht="28.8" x14ac:dyDescent="0.3">
      <c r="A20" s="1">
        <v>12.18</v>
      </c>
      <c r="B20" s="2" t="s">
        <v>59</v>
      </c>
      <c r="C20" s="10" t="s">
        <v>60</v>
      </c>
      <c r="E20" s="2" t="s">
        <v>23</v>
      </c>
      <c r="F20" s="2">
        <v>8</v>
      </c>
      <c r="G20" s="12">
        <v>10000</v>
      </c>
      <c r="H20" s="12">
        <f t="shared" si="2"/>
        <v>80000</v>
      </c>
      <c r="S20" s="7">
        <f t="shared" si="0"/>
        <v>0</v>
      </c>
      <c r="T20" s="7">
        <f t="shared" si="1"/>
        <v>8</v>
      </c>
    </row>
    <row r="21" spans="1:20" ht="57.6" x14ac:dyDescent="0.3">
      <c r="A21" s="1">
        <v>12.19</v>
      </c>
      <c r="B21" s="2" t="s">
        <v>61</v>
      </c>
      <c r="C21" s="10" t="s">
        <v>62</v>
      </c>
      <c r="D21" s="10" t="s">
        <v>63</v>
      </c>
      <c r="E21" s="2" t="s">
        <v>23</v>
      </c>
      <c r="F21" s="2">
        <v>7</v>
      </c>
      <c r="G21" s="12">
        <v>48000</v>
      </c>
      <c r="H21" s="12">
        <f t="shared" si="2"/>
        <v>336000</v>
      </c>
      <c r="S21" s="7">
        <f t="shared" si="0"/>
        <v>0</v>
      </c>
      <c r="T21" s="7">
        <f t="shared" si="1"/>
        <v>7</v>
      </c>
    </row>
    <row r="22" spans="1:20" ht="43.2" x14ac:dyDescent="0.3">
      <c r="A22" s="1">
        <v>12.2</v>
      </c>
      <c r="B22" s="2" t="s">
        <v>64</v>
      </c>
      <c r="C22" s="10" t="s">
        <v>62</v>
      </c>
      <c r="D22" s="10" t="s">
        <v>65</v>
      </c>
      <c r="E22" s="2" t="s">
        <v>23</v>
      </c>
      <c r="F22" s="2">
        <v>4</v>
      </c>
      <c r="G22" s="12">
        <v>96000</v>
      </c>
      <c r="H22" s="12">
        <f t="shared" si="2"/>
        <v>384000</v>
      </c>
      <c r="S22" s="7">
        <f t="shared" si="0"/>
        <v>0</v>
      </c>
      <c r="T22" s="7">
        <f t="shared" si="1"/>
        <v>4</v>
      </c>
    </row>
    <row r="23" spans="1:20" ht="409.6" x14ac:dyDescent="0.3">
      <c r="A23" s="1">
        <v>12.21</v>
      </c>
      <c r="B23" s="2" t="s">
        <v>66</v>
      </c>
      <c r="C23" s="10" t="s">
        <v>44</v>
      </c>
      <c r="D23" s="10" t="s">
        <v>67</v>
      </c>
      <c r="E23" s="2" t="s">
        <v>23</v>
      </c>
      <c r="F23" s="2">
        <v>43</v>
      </c>
      <c r="G23" s="12">
        <v>215000</v>
      </c>
      <c r="H23" s="12">
        <f t="shared" si="2"/>
        <v>9245000</v>
      </c>
      <c r="S23" s="7">
        <f t="shared" si="0"/>
        <v>0</v>
      </c>
      <c r="T23" s="7">
        <f t="shared" si="1"/>
        <v>43</v>
      </c>
    </row>
    <row r="24" spans="1:20" ht="360" x14ac:dyDescent="0.3">
      <c r="A24" s="1">
        <v>12.22</v>
      </c>
      <c r="B24" s="2" t="s">
        <v>68</v>
      </c>
      <c r="C24" s="10" t="s">
        <v>44</v>
      </c>
      <c r="D24" s="10" t="s">
        <v>69</v>
      </c>
      <c r="E24" s="2" t="s">
        <v>23</v>
      </c>
      <c r="F24" s="2">
        <v>6</v>
      </c>
      <c r="G24" s="12">
        <v>160000</v>
      </c>
      <c r="H24" s="12">
        <f t="shared" si="2"/>
        <v>960000</v>
      </c>
      <c r="S24" s="7">
        <f t="shared" si="0"/>
        <v>0</v>
      </c>
      <c r="T24" s="7">
        <f t="shared" si="1"/>
        <v>6</v>
      </c>
    </row>
    <row r="25" spans="1:20" ht="43.2" x14ac:dyDescent="0.3">
      <c r="A25" s="1">
        <v>12.23</v>
      </c>
      <c r="B25" s="2" t="s">
        <v>70</v>
      </c>
      <c r="C25" s="10" t="s">
        <v>44</v>
      </c>
      <c r="D25" s="10" t="s">
        <v>71</v>
      </c>
      <c r="E25" s="2" t="s">
        <v>23</v>
      </c>
      <c r="F25" s="2">
        <v>6</v>
      </c>
      <c r="G25" s="12">
        <v>100000</v>
      </c>
      <c r="H25" s="12">
        <f t="shared" si="2"/>
        <v>600000</v>
      </c>
      <c r="S25" s="7">
        <f t="shared" si="0"/>
        <v>0</v>
      </c>
      <c r="T25" s="7">
        <f t="shared" si="1"/>
        <v>6</v>
      </c>
    </row>
    <row r="26" spans="1:20" ht="28.8" x14ac:dyDescent="0.3">
      <c r="A26" s="1">
        <v>12.24</v>
      </c>
      <c r="B26" s="2" t="s">
        <v>72</v>
      </c>
      <c r="C26" s="10" t="s">
        <v>73</v>
      </c>
      <c r="E26" s="2" t="s">
        <v>23</v>
      </c>
      <c r="F26" s="2">
        <v>6</v>
      </c>
      <c r="G26" s="12">
        <v>195000</v>
      </c>
      <c r="H26" s="12">
        <f t="shared" si="2"/>
        <v>1170000</v>
      </c>
      <c r="S26" s="7">
        <f t="shared" si="0"/>
        <v>0</v>
      </c>
      <c r="T26" s="7">
        <f t="shared" si="1"/>
        <v>6</v>
      </c>
    </row>
    <row r="27" spans="1:20" ht="28.8" x14ac:dyDescent="0.3">
      <c r="A27" s="1">
        <v>12.25</v>
      </c>
      <c r="B27" s="2" t="s">
        <v>74</v>
      </c>
      <c r="C27" s="10" t="s">
        <v>58</v>
      </c>
      <c r="E27" s="2" t="s">
        <v>23</v>
      </c>
      <c r="F27" s="2">
        <v>3</v>
      </c>
      <c r="G27" s="12">
        <v>74800</v>
      </c>
      <c r="H27" s="12">
        <f t="shared" si="2"/>
        <v>224400</v>
      </c>
      <c r="S27" s="7">
        <f t="shared" si="0"/>
        <v>0</v>
      </c>
      <c r="T27" s="7">
        <f t="shared" si="1"/>
        <v>3</v>
      </c>
    </row>
    <row r="28" spans="1:20" ht="187.2" x14ac:dyDescent="0.3">
      <c r="A28" s="1">
        <v>12.26</v>
      </c>
      <c r="B28" s="2" t="s">
        <v>75</v>
      </c>
      <c r="C28" s="10" t="s">
        <v>44</v>
      </c>
      <c r="D28" s="10" t="s">
        <v>76</v>
      </c>
      <c r="E28" s="2" t="s">
        <v>23</v>
      </c>
      <c r="F28" s="2">
        <v>9</v>
      </c>
      <c r="G28" s="12">
        <v>83000</v>
      </c>
      <c r="H28" s="12">
        <f t="shared" si="2"/>
        <v>747000</v>
      </c>
      <c r="S28" s="7">
        <f t="shared" si="0"/>
        <v>0</v>
      </c>
      <c r="T28" s="7">
        <f t="shared" si="1"/>
        <v>9</v>
      </c>
    </row>
    <row r="29" spans="1:20" ht="288" x14ac:dyDescent="0.3">
      <c r="A29" s="1">
        <v>12.27</v>
      </c>
      <c r="B29" s="2" t="s">
        <v>77</v>
      </c>
      <c r="C29" s="10" t="s">
        <v>52</v>
      </c>
      <c r="D29" s="10" t="s">
        <v>78</v>
      </c>
      <c r="E29" s="2" t="s">
        <v>23</v>
      </c>
      <c r="F29" s="2">
        <v>3</v>
      </c>
      <c r="G29" s="12">
        <v>446000</v>
      </c>
      <c r="H29" s="12">
        <f t="shared" si="2"/>
        <v>1338000</v>
      </c>
      <c r="S29" s="7">
        <f t="shared" si="0"/>
        <v>0</v>
      </c>
      <c r="T29" s="7">
        <f t="shared" si="1"/>
        <v>3</v>
      </c>
    </row>
    <row r="30" spans="1:20" ht="43.2" x14ac:dyDescent="0.3">
      <c r="A30" s="1">
        <v>12.28</v>
      </c>
      <c r="B30" s="2" t="s">
        <v>79</v>
      </c>
      <c r="C30" s="10" t="s">
        <v>62</v>
      </c>
      <c r="D30" s="10" t="s">
        <v>65</v>
      </c>
      <c r="E30" s="2" t="s">
        <v>23</v>
      </c>
      <c r="F30" s="2">
        <v>4</v>
      </c>
      <c r="G30" s="12">
        <v>92000</v>
      </c>
      <c r="H30" s="12">
        <f t="shared" si="2"/>
        <v>368000</v>
      </c>
      <c r="S30" s="7">
        <f t="shared" si="0"/>
        <v>0</v>
      </c>
      <c r="T30" s="7">
        <f t="shared" si="1"/>
        <v>4</v>
      </c>
    </row>
    <row r="31" spans="1:20" ht="100.8" x14ac:dyDescent="0.3">
      <c r="A31" s="1">
        <v>12.29</v>
      </c>
      <c r="B31" s="2" t="s">
        <v>80</v>
      </c>
      <c r="C31" s="10" t="s">
        <v>81</v>
      </c>
      <c r="E31" s="2" t="s">
        <v>23</v>
      </c>
      <c r="F31" s="2">
        <v>1</v>
      </c>
      <c r="G31" s="12">
        <v>466000</v>
      </c>
      <c r="H31" s="12">
        <f t="shared" si="2"/>
        <v>466000</v>
      </c>
      <c r="S31" s="7">
        <f t="shared" si="0"/>
        <v>0</v>
      </c>
      <c r="T31" s="7">
        <f t="shared" si="1"/>
        <v>1</v>
      </c>
    </row>
    <row r="32" spans="1:20" ht="172.8" x14ac:dyDescent="0.3">
      <c r="A32" s="1">
        <v>12.3</v>
      </c>
      <c r="B32" s="2" t="s">
        <v>82</v>
      </c>
      <c r="C32" s="10" t="s">
        <v>83</v>
      </c>
      <c r="D32" s="10" t="s">
        <v>84</v>
      </c>
      <c r="E32" s="2" t="s">
        <v>23</v>
      </c>
      <c r="F32" s="2">
        <v>1</v>
      </c>
      <c r="G32" s="12">
        <v>248175</v>
      </c>
      <c r="H32" s="12">
        <f t="shared" si="2"/>
        <v>248175</v>
      </c>
      <c r="S32" s="7">
        <f t="shared" si="0"/>
        <v>0</v>
      </c>
      <c r="T32" s="7">
        <f t="shared" si="1"/>
        <v>1</v>
      </c>
    </row>
    <row r="33" spans="1:20" ht="72" x14ac:dyDescent="0.3">
      <c r="A33" s="1">
        <v>12.31</v>
      </c>
      <c r="B33" s="2" t="s">
        <v>85</v>
      </c>
      <c r="C33" s="10" t="s">
        <v>86</v>
      </c>
      <c r="D33" s="10" t="s">
        <v>87</v>
      </c>
      <c r="E33" s="2" t="s">
        <v>23</v>
      </c>
      <c r="F33" s="2">
        <v>31</v>
      </c>
      <c r="G33" s="12">
        <v>22000</v>
      </c>
      <c r="H33" s="12">
        <f t="shared" si="2"/>
        <v>682000</v>
      </c>
      <c r="S33" s="7">
        <f t="shared" si="0"/>
        <v>0</v>
      </c>
      <c r="T33" s="7">
        <f t="shared" si="1"/>
        <v>31</v>
      </c>
    </row>
    <row r="34" spans="1:20" ht="57.6" x14ac:dyDescent="0.3">
      <c r="A34" s="1">
        <v>12.32</v>
      </c>
      <c r="B34" s="2" t="s">
        <v>88</v>
      </c>
      <c r="C34" s="10" t="s">
        <v>62</v>
      </c>
      <c r="D34" s="10" t="s">
        <v>89</v>
      </c>
      <c r="E34" s="2" t="s">
        <v>23</v>
      </c>
      <c r="F34" s="2">
        <v>4</v>
      </c>
      <c r="G34" s="12">
        <v>321000</v>
      </c>
      <c r="H34" s="12">
        <f t="shared" si="2"/>
        <v>1284000</v>
      </c>
      <c r="S34" s="7">
        <f t="shared" si="0"/>
        <v>0</v>
      </c>
      <c r="T34" s="7">
        <f t="shared" si="1"/>
        <v>4</v>
      </c>
    </row>
    <row r="35" spans="1:20" ht="72" x14ac:dyDescent="0.3">
      <c r="A35" s="1">
        <v>12.33</v>
      </c>
      <c r="B35" s="2" t="s">
        <v>90</v>
      </c>
      <c r="C35" s="10" t="s">
        <v>55</v>
      </c>
      <c r="D35" s="10" t="s">
        <v>91</v>
      </c>
      <c r="E35" s="2" t="s">
        <v>23</v>
      </c>
      <c r="F35" s="2">
        <v>3</v>
      </c>
      <c r="G35" s="12">
        <v>35000</v>
      </c>
      <c r="H35" s="12">
        <f t="shared" si="2"/>
        <v>105000</v>
      </c>
      <c r="S35" s="7">
        <f t="shared" si="0"/>
        <v>0</v>
      </c>
      <c r="T35" s="7">
        <f t="shared" si="1"/>
        <v>3</v>
      </c>
    </row>
    <row r="36" spans="1:20" x14ac:dyDescent="0.3">
      <c r="A36" s="1">
        <v>12.34</v>
      </c>
      <c r="B36" s="2" t="s">
        <v>92</v>
      </c>
      <c r="C36" s="10" t="s">
        <v>60</v>
      </c>
      <c r="E36" s="2" t="s">
        <v>23</v>
      </c>
      <c r="F36" s="2">
        <v>1</v>
      </c>
      <c r="G36" s="12">
        <v>23000</v>
      </c>
      <c r="H36" s="12">
        <f t="shared" si="2"/>
        <v>23000</v>
      </c>
      <c r="S36" s="7">
        <f t="shared" si="0"/>
        <v>0</v>
      </c>
      <c r="T36" s="7">
        <f t="shared" si="1"/>
        <v>1</v>
      </c>
    </row>
    <row r="37" spans="1:20" ht="158.4" x14ac:dyDescent="0.3">
      <c r="A37" s="1">
        <v>12.35</v>
      </c>
      <c r="B37" s="2" t="s">
        <v>93</v>
      </c>
      <c r="C37" s="10" t="s">
        <v>39</v>
      </c>
      <c r="D37" s="10" t="s">
        <v>94</v>
      </c>
      <c r="E37" s="2" t="s">
        <v>23</v>
      </c>
      <c r="F37" s="2">
        <v>4</v>
      </c>
      <c r="G37" s="12">
        <v>100000</v>
      </c>
      <c r="H37" s="12">
        <f t="shared" si="2"/>
        <v>400000</v>
      </c>
      <c r="S37" s="7">
        <f t="shared" si="0"/>
        <v>0</v>
      </c>
      <c r="T37" s="7">
        <f t="shared" si="1"/>
        <v>4</v>
      </c>
    </row>
    <row r="38" spans="1:20" ht="144" x14ac:dyDescent="0.3">
      <c r="A38" s="1">
        <v>12.36</v>
      </c>
      <c r="B38" s="2" t="s">
        <v>95</v>
      </c>
      <c r="C38" s="10" t="s">
        <v>39</v>
      </c>
      <c r="D38" s="10" t="s">
        <v>96</v>
      </c>
      <c r="E38" s="2" t="s">
        <v>23</v>
      </c>
      <c r="F38" s="2">
        <v>2</v>
      </c>
      <c r="G38" s="12">
        <v>270000</v>
      </c>
      <c r="H38" s="12">
        <f t="shared" si="2"/>
        <v>540000</v>
      </c>
      <c r="S38" s="7">
        <f t="shared" si="0"/>
        <v>0</v>
      </c>
      <c r="T38" s="7">
        <f t="shared" si="1"/>
        <v>2</v>
      </c>
    </row>
    <row r="39" spans="1:20" ht="57.6" x14ac:dyDescent="0.3">
      <c r="A39" s="1">
        <v>12.37</v>
      </c>
      <c r="B39" s="2" t="s">
        <v>97</v>
      </c>
      <c r="C39" s="10" t="s">
        <v>39</v>
      </c>
      <c r="D39" s="10" t="s">
        <v>98</v>
      </c>
      <c r="E39" s="2" t="s">
        <v>23</v>
      </c>
      <c r="F39" s="2">
        <v>2</v>
      </c>
      <c r="G39" s="12">
        <v>157000</v>
      </c>
      <c r="H39" s="12">
        <f t="shared" si="2"/>
        <v>314000</v>
      </c>
      <c r="S39" s="7">
        <f t="shared" si="0"/>
        <v>0</v>
      </c>
      <c r="T39" s="7">
        <f t="shared" si="1"/>
        <v>2</v>
      </c>
    </row>
    <row r="40" spans="1:20" ht="129.6" x14ac:dyDescent="0.3">
      <c r="A40" s="1">
        <v>12.38</v>
      </c>
      <c r="B40" s="2" t="s">
        <v>99</v>
      </c>
      <c r="C40" s="10" t="s">
        <v>39</v>
      </c>
      <c r="D40" s="10" t="s">
        <v>100</v>
      </c>
      <c r="E40" s="2" t="s">
        <v>23</v>
      </c>
      <c r="F40" s="2">
        <v>2</v>
      </c>
      <c r="G40" s="12">
        <v>55000</v>
      </c>
      <c r="H40" s="12">
        <f t="shared" si="2"/>
        <v>110000</v>
      </c>
      <c r="S40" s="7">
        <f t="shared" si="0"/>
        <v>0</v>
      </c>
      <c r="T40" s="7">
        <f t="shared" si="1"/>
        <v>2</v>
      </c>
    </row>
    <row r="41" spans="1:20" ht="158.4" x14ac:dyDescent="0.3">
      <c r="A41" s="1">
        <v>12.39</v>
      </c>
      <c r="B41" s="2" t="s">
        <v>101</v>
      </c>
      <c r="C41" s="10" t="s">
        <v>83</v>
      </c>
      <c r="D41" s="10" t="s">
        <v>102</v>
      </c>
      <c r="E41" s="2" t="s">
        <v>23</v>
      </c>
      <c r="F41" s="2">
        <v>1</v>
      </c>
      <c r="G41" s="12">
        <v>529000</v>
      </c>
      <c r="H41" s="12">
        <f t="shared" si="2"/>
        <v>529000</v>
      </c>
      <c r="S41" s="7">
        <f t="shared" si="0"/>
        <v>0</v>
      </c>
      <c r="T41" s="7">
        <f t="shared" si="1"/>
        <v>1</v>
      </c>
    </row>
    <row r="42" spans="1:20" ht="158.4" x14ac:dyDescent="0.3">
      <c r="A42" s="1">
        <v>12.4</v>
      </c>
      <c r="B42" s="2" t="s">
        <v>103</v>
      </c>
      <c r="C42" s="10" t="s">
        <v>83</v>
      </c>
      <c r="D42" s="10" t="s">
        <v>104</v>
      </c>
      <c r="E42" s="2" t="s">
        <v>23</v>
      </c>
      <c r="F42" s="2">
        <v>2</v>
      </c>
      <c r="G42" s="12">
        <v>240000</v>
      </c>
      <c r="H42" s="12">
        <f t="shared" si="2"/>
        <v>480000</v>
      </c>
      <c r="S42" s="7">
        <f t="shared" si="0"/>
        <v>0</v>
      </c>
      <c r="T42" s="7">
        <f t="shared" si="1"/>
        <v>2</v>
      </c>
    </row>
    <row r="43" spans="1:20" ht="144" x14ac:dyDescent="0.3">
      <c r="A43" s="1">
        <v>12.41</v>
      </c>
      <c r="B43" s="2" t="s">
        <v>105</v>
      </c>
      <c r="C43" s="10" t="s">
        <v>62</v>
      </c>
      <c r="D43" s="10" t="s">
        <v>106</v>
      </c>
      <c r="E43" s="2" t="s">
        <v>23</v>
      </c>
      <c r="F43" s="2">
        <v>1</v>
      </c>
      <c r="G43" s="12">
        <v>68000</v>
      </c>
      <c r="H43" s="12">
        <f t="shared" si="2"/>
        <v>68000</v>
      </c>
      <c r="S43" s="7">
        <f t="shared" si="0"/>
        <v>0</v>
      </c>
      <c r="T43" s="7">
        <f t="shared" si="1"/>
        <v>1</v>
      </c>
    </row>
    <row r="44" spans="1:20" ht="172.8" x14ac:dyDescent="0.3">
      <c r="A44" s="1">
        <v>12.42</v>
      </c>
      <c r="B44" s="2" t="s">
        <v>107</v>
      </c>
      <c r="C44" s="10" t="s">
        <v>108</v>
      </c>
      <c r="D44" s="10" t="s">
        <v>109</v>
      </c>
      <c r="E44" s="2" t="s">
        <v>23</v>
      </c>
      <c r="F44" s="2">
        <v>1</v>
      </c>
      <c r="G44" s="12">
        <v>95000</v>
      </c>
      <c r="H44" s="12">
        <f t="shared" si="2"/>
        <v>95000</v>
      </c>
      <c r="S44" s="7">
        <f t="shared" si="0"/>
        <v>0</v>
      </c>
      <c r="T44" s="7">
        <f t="shared" si="1"/>
        <v>1</v>
      </c>
    </row>
    <row r="45" spans="1:20" ht="57.6" x14ac:dyDescent="0.3">
      <c r="A45" s="1">
        <v>12.43</v>
      </c>
      <c r="B45" s="2" t="s">
        <v>110</v>
      </c>
      <c r="C45" s="10" t="s">
        <v>111</v>
      </c>
      <c r="E45" s="2" t="s">
        <v>23</v>
      </c>
      <c r="F45" s="2">
        <v>1</v>
      </c>
      <c r="G45" s="12">
        <v>50000</v>
      </c>
      <c r="H45" s="12">
        <f t="shared" si="2"/>
        <v>50000</v>
      </c>
      <c r="S45" s="7">
        <f t="shared" si="0"/>
        <v>0</v>
      </c>
      <c r="T45" s="7">
        <f t="shared" si="1"/>
        <v>1</v>
      </c>
    </row>
    <row r="46" spans="1:20" ht="115.2" x14ac:dyDescent="0.3">
      <c r="A46" s="1">
        <v>12.44</v>
      </c>
      <c r="B46" s="2" t="s">
        <v>112</v>
      </c>
      <c r="C46" s="10" t="s">
        <v>113</v>
      </c>
      <c r="D46" s="10" t="s">
        <v>114</v>
      </c>
      <c r="E46" s="2" t="s">
        <v>23</v>
      </c>
      <c r="F46" s="2">
        <v>1</v>
      </c>
      <c r="G46" s="12">
        <v>230000</v>
      </c>
      <c r="H46" s="12">
        <f t="shared" si="2"/>
        <v>230000</v>
      </c>
      <c r="S46" s="7">
        <f t="shared" si="0"/>
        <v>0</v>
      </c>
      <c r="T46" s="7">
        <f t="shared" si="1"/>
        <v>1</v>
      </c>
    </row>
    <row r="47" spans="1:20" ht="100.8" x14ac:dyDescent="0.3">
      <c r="A47" s="1">
        <v>12.45</v>
      </c>
      <c r="B47" s="2" t="s">
        <v>115</v>
      </c>
      <c r="C47" s="10" t="s">
        <v>116</v>
      </c>
      <c r="D47" s="10" t="s">
        <v>117</v>
      </c>
      <c r="E47" s="2" t="s">
        <v>23</v>
      </c>
      <c r="F47" s="2">
        <v>2</v>
      </c>
      <c r="G47" s="12">
        <v>44000</v>
      </c>
      <c r="H47" s="12">
        <f t="shared" si="2"/>
        <v>88000</v>
      </c>
      <c r="S47" s="7">
        <f t="shared" si="0"/>
        <v>0</v>
      </c>
      <c r="T47" s="7">
        <f t="shared" si="1"/>
        <v>2</v>
      </c>
    </row>
    <row r="48" spans="1:20" ht="230.4" x14ac:dyDescent="0.3">
      <c r="A48" s="1">
        <v>12.46</v>
      </c>
      <c r="B48" s="2" t="s">
        <v>118</v>
      </c>
      <c r="C48" s="10" t="s">
        <v>116</v>
      </c>
      <c r="D48" s="10" t="s">
        <v>119</v>
      </c>
      <c r="E48" s="2" t="s">
        <v>23</v>
      </c>
      <c r="F48" s="2">
        <v>1</v>
      </c>
      <c r="G48" s="12">
        <v>70000</v>
      </c>
      <c r="H48" s="12">
        <f t="shared" si="2"/>
        <v>70000</v>
      </c>
      <c r="S48" s="7">
        <f t="shared" si="0"/>
        <v>0</v>
      </c>
      <c r="T48" s="7">
        <f t="shared" si="1"/>
        <v>1</v>
      </c>
    </row>
    <row r="49" spans="1:20" ht="230.4" x14ac:dyDescent="0.3">
      <c r="A49" s="1">
        <v>12.47</v>
      </c>
      <c r="B49" s="2" t="s">
        <v>120</v>
      </c>
      <c r="C49" s="10" t="s">
        <v>116</v>
      </c>
      <c r="D49" s="10" t="s">
        <v>121</v>
      </c>
      <c r="E49" s="2" t="s">
        <v>23</v>
      </c>
      <c r="F49" s="2">
        <v>3</v>
      </c>
      <c r="G49" s="12">
        <v>45000</v>
      </c>
      <c r="H49" s="12">
        <f t="shared" si="2"/>
        <v>135000</v>
      </c>
      <c r="S49" s="7">
        <f t="shared" si="0"/>
        <v>0</v>
      </c>
      <c r="T49" s="7">
        <f t="shared" si="1"/>
        <v>3</v>
      </c>
    </row>
    <row r="50" spans="1:20" ht="28.8" x14ac:dyDescent="0.3">
      <c r="A50" s="1">
        <v>12.48</v>
      </c>
      <c r="B50" s="2" t="s">
        <v>122</v>
      </c>
      <c r="C50" s="10" t="s">
        <v>116</v>
      </c>
      <c r="D50" s="10" t="s">
        <v>123</v>
      </c>
      <c r="E50" s="2" t="s">
        <v>23</v>
      </c>
      <c r="F50" s="2">
        <v>1</v>
      </c>
      <c r="G50" s="12">
        <v>108000</v>
      </c>
      <c r="H50" s="12">
        <f t="shared" si="2"/>
        <v>108000</v>
      </c>
      <c r="S50" s="7">
        <f t="shared" si="0"/>
        <v>0</v>
      </c>
      <c r="T50" s="7">
        <f t="shared" si="1"/>
        <v>1</v>
      </c>
    </row>
    <row r="51" spans="1:20" ht="43.2" x14ac:dyDescent="0.3">
      <c r="A51" s="1">
        <v>12.49</v>
      </c>
      <c r="B51" s="2" t="s">
        <v>124</v>
      </c>
      <c r="C51" s="10" t="s">
        <v>116</v>
      </c>
      <c r="D51" s="10" t="s">
        <v>125</v>
      </c>
      <c r="E51" s="2" t="s">
        <v>23</v>
      </c>
      <c r="F51" s="2">
        <v>2</v>
      </c>
      <c r="G51" s="12">
        <v>40000</v>
      </c>
      <c r="H51" s="12">
        <f t="shared" si="2"/>
        <v>80000</v>
      </c>
      <c r="S51" s="7">
        <f t="shared" si="0"/>
        <v>0</v>
      </c>
      <c r="T51" s="7">
        <f t="shared" si="1"/>
        <v>2</v>
      </c>
    </row>
    <row r="52" spans="1:20" x14ac:dyDescent="0.3">
      <c r="A52" s="1">
        <v>12.5</v>
      </c>
      <c r="B52" s="2" t="s">
        <v>126</v>
      </c>
      <c r="C52" s="10" t="s">
        <v>60</v>
      </c>
      <c r="E52" s="2" t="s">
        <v>23</v>
      </c>
      <c r="F52" s="2">
        <v>1</v>
      </c>
      <c r="G52" s="12">
        <v>31000</v>
      </c>
      <c r="H52" s="12">
        <f t="shared" si="2"/>
        <v>31000</v>
      </c>
      <c r="S52" s="7">
        <f t="shared" si="0"/>
        <v>0</v>
      </c>
      <c r="T52" s="7">
        <f t="shared" si="1"/>
        <v>1</v>
      </c>
    </row>
    <row r="53" spans="1:20" ht="72" x14ac:dyDescent="0.3">
      <c r="A53" s="1">
        <v>12.51</v>
      </c>
      <c r="B53" s="2" t="s">
        <v>127</v>
      </c>
      <c r="C53" s="10" t="s">
        <v>39</v>
      </c>
      <c r="D53" s="10" t="s">
        <v>128</v>
      </c>
      <c r="E53" s="2" t="s">
        <v>23</v>
      </c>
      <c r="F53" s="2">
        <v>3</v>
      </c>
      <c r="G53" s="12">
        <v>115000</v>
      </c>
      <c r="H53" s="12">
        <f t="shared" si="2"/>
        <v>345000</v>
      </c>
      <c r="S53" s="7">
        <f t="shared" si="0"/>
        <v>0</v>
      </c>
      <c r="T53" s="7">
        <f t="shared" si="1"/>
        <v>3</v>
      </c>
    </row>
    <row r="54" spans="1:20" ht="100.8" x14ac:dyDescent="0.3">
      <c r="A54" s="1">
        <v>12.52</v>
      </c>
      <c r="B54" s="2" t="s">
        <v>129</v>
      </c>
      <c r="C54" s="10" t="s">
        <v>62</v>
      </c>
      <c r="D54" s="10" t="s">
        <v>130</v>
      </c>
      <c r="E54" s="2" t="s">
        <v>23</v>
      </c>
      <c r="F54" s="2">
        <v>1</v>
      </c>
      <c r="G54" s="12">
        <v>321000</v>
      </c>
      <c r="H54" s="12">
        <f t="shared" si="2"/>
        <v>321000</v>
      </c>
      <c r="S54" s="7">
        <f t="shared" si="0"/>
        <v>0</v>
      </c>
      <c r="T54" s="7">
        <f t="shared" si="1"/>
        <v>1</v>
      </c>
    </row>
    <row r="55" spans="1:20" ht="172.8" x14ac:dyDescent="0.3">
      <c r="A55" s="1">
        <v>12.53</v>
      </c>
      <c r="B55" s="2" t="s">
        <v>131</v>
      </c>
      <c r="C55" s="10" t="s">
        <v>83</v>
      </c>
      <c r="D55" s="10" t="s">
        <v>132</v>
      </c>
      <c r="E55" s="2" t="s">
        <v>23</v>
      </c>
      <c r="F55" s="2">
        <v>1</v>
      </c>
      <c r="G55" s="12">
        <v>266000</v>
      </c>
      <c r="H55" s="12">
        <f t="shared" si="2"/>
        <v>266000</v>
      </c>
      <c r="S55" s="7">
        <f t="shared" si="0"/>
        <v>0</v>
      </c>
      <c r="T55" s="7">
        <f t="shared" si="1"/>
        <v>1</v>
      </c>
    </row>
    <row r="56" spans="1:20" ht="72" x14ac:dyDescent="0.3">
      <c r="A56" s="1">
        <v>12.54</v>
      </c>
      <c r="B56" s="2" t="s">
        <v>133</v>
      </c>
      <c r="C56" s="10" t="s">
        <v>134</v>
      </c>
      <c r="D56" s="10" t="s">
        <v>135</v>
      </c>
      <c r="E56" s="2" t="s">
        <v>23</v>
      </c>
      <c r="F56" s="2">
        <v>2</v>
      </c>
      <c r="G56" s="12">
        <v>43500</v>
      </c>
      <c r="H56" s="12">
        <f t="shared" si="2"/>
        <v>87000</v>
      </c>
      <c r="S56" s="7">
        <f t="shared" si="0"/>
        <v>0</v>
      </c>
      <c r="T56" s="7">
        <f t="shared" si="1"/>
        <v>2</v>
      </c>
    </row>
    <row r="57" spans="1:20" ht="28.8" x14ac:dyDescent="0.3">
      <c r="A57" s="1">
        <v>12.55</v>
      </c>
      <c r="B57" s="2" t="s">
        <v>136</v>
      </c>
      <c r="C57" s="10" t="s">
        <v>137</v>
      </c>
      <c r="E57" s="2" t="s">
        <v>23</v>
      </c>
      <c r="F57" s="2">
        <v>1</v>
      </c>
      <c r="G57" s="12">
        <v>92000</v>
      </c>
      <c r="H57" s="12">
        <f t="shared" si="2"/>
        <v>92000</v>
      </c>
      <c r="S57" s="7">
        <f t="shared" si="0"/>
        <v>0</v>
      </c>
      <c r="T57" s="7">
        <f t="shared" si="1"/>
        <v>1</v>
      </c>
    </row>
    <row r="58" spans="1:20" x14ac:dyDescent="0.3">
      <c r="A58" s="1">
        <v>12.56</v>
      </c>
      <c r="B58" s="2" t="s">
        <v>138</v>
      </c>
      <c r="C58" s="10" t="s">
        <v>60</v>
      </c>
      <c r="E58" s="2" t="s">
        <v>23</v>
      </c>
      <c r="F58" s="2">
        <v>1</v>
      </c>
      <c r="G58" s="12">
        <v>22157</v>
      </c>
      <c r="H58" s="12">
        <f t="shared" si="2"/>
        <v>22157</v>
      </c>
      <c r="S58" s="7">
        <f t="shared" si="0"/>
        <v>0</v>
      </c>
      <c r="T58" s="7">
        <f t="shared" si="1"/>
        <v>1</v>
      </c>
    </row>
    <row r="59" spans="1:20" ht="100.8" x14ac:dyDescent="0.3">
      <c r="A59" s="1">
        <v>12.57</v>
      </c>
      <c r="B59" s="2" t="s">
        <v>139</v>
      </c>
      <c r="C59" s="10" t="s">
        <v>44</v>
      </c>
      <c r="E59" s="2" t="s">
        <v>23</v>
      </c>
      <c r="F59" s="2">
        <v>20</v>
      </c>
      <c r="G59" s="12">
        <v>39000</v>
      </c>
      <c r="H59" s="12">
        <f t="shared" si="2"/>
        <v>780000</v>
      </c>
      <c r="S59" s="7">
        <f t="shared" si="0"/>
        <v>0</v>
      </c>
      <c r="T59" s="7">
        <f t="shared" si="1"/>
        <v>20</v>
      </c>
    </row>
    <row r="60" spans="1:20" ht="86.4" x14ac:dyDescent="0.3">
      <c r="A60" s="1">
        <v>12.58</v>
      </c>
      <c r="B60" s="2" t="s">
        <v>140</v>
      </c>
      <c r="C60" s="10" t="s">
        <v>44</v>
      </c>
      <c r="D60" s="10" t="s">
        <v>141</v>
      </c>
      <c r="E60" s="2" t="s">
        <v>23</v>
      </c>
      <c r="F60" s="2">
        <v>7</v>
      </c>
      <c r="G60" s="12">
        <v>29000</v>
      </c>
      <c r="H60" s="12">
        <f t="shared" si="2"/>
        <v>203000</v>
      </c>
      <c r="S60" s="7">
        <f t="shared" si="0"/>
        <v>0</v>
      </c>
      <c r="T60" s="7">
        <f t="shared" si="1"/>
        <v>7</v>
      </c>
    </row>
    <row r="61" spans="1:20" ht="28.8" x14ac:dyDescent="0.3">
      <c r="A61" s="1">
        <v>12.59</v>
      </c>
      <c r="B61" s="2" t="s">
        <v>142</v>
      </c>
      <c r="C61" s="10" t="s">
        <v>58</v>
      </c>
      <c r="E61" s="2" t="s">
        <v>23</v>
      </c>
      <c r="F61" s="2">
        <v>5</v>
      </c>
      <c r="G61" s="12">
        <v>38000</v>
      </c>
      <c r="H61" s="12">
        <f t="shared" si="2"/>
        <v>190000</v>
      </c>
      <c r="S61" s="7">
        <f t="shared" si="0"/>
        <v>0</v>
      </c>
      <c r="T61" s="7">
        <f t="shared" si="1"/>
        <v>5</v>
      </c>
    </row>
    <row r="62" spans="1:20" ht="28.8" x14ac:dyDescent="0.3">
      <c r="A62" s="1">
        <v>12.6</v>
      </c>
      <c r="B62" s="2" t="s">
        <v>143</v>
      </c>
      <c r="C62" s="10" t="s">
        <v>58</v>
      </c>
      <c r="E62" s="2" t="s">
        <v>23</v>
      </c>
      <c r="F62" s="2">
        <v>2</v>
      </c>
      <c r="G62" s="12">
        <v>38000</v>
      </c>
      <c r="H62" s="12">
        <f t="shared" si="2"/>
        <v>76000</v>
      </c>
      <c r="S62" s="7">
        <f t="shared" si="0"/>
        <v>0</v>
      </c>
      <c r="T62" s="7">
        <f t="shared" si="1"/>
        <v>2</v>
      </c>
    </row>
    <row r="63" spans="1:20" ht="28.8" x14ac:dyDescent="0.3">
      <c r="A63" s="1">
        <v>12.61</v>
      </c>
      <c r="B63" s="2" t="s">
        <v>142</v>
      </c>
      <c r="C63" s="10" t="s">
        <v>58</v>
      </c>
      <c r="E63" s="2" t="s">
        <v>23</v>
      </c>
      <c r="F63" s="2">
        <v>1</v>
      </c>
      <c r="G63" s="12">
        <v>38000</v>
      </c>
      <c r="H63" s="12">
        <f t="shared" si="2"/>
        <v>38000</v>
      </c>
      <c r="S63" s="7">
        <f t="shared" si="0"/>
        <v>0</v>
      </c>
      <c r="T63" s="7">
        <f t="shared" si="1"/>
        <v>1</v>
      </c>
    </row>
    <row r="64" spans="1:20" ht="28.8" x14ac:dyDescent="0.3">
      <c r="A64" s="1">
        <v>12.62</v>
      </c>
      <c r="B64" s="2" t="s">
        <v>144</v>
      </c>
      <c r="C64" s="10" t="s">
        <v>58</v>
      </c>
      <c r="E64" s="2" t="s">
        <v>23</v>
      </c>
      <c r="F64" s="2">
        <v>1</v>
      </c>
      <c r="G64" s="12">
        <v>150000</v>
      </c>
      <c r="H64" s="12">
        <f t="shared" si="2"/>
        <v>150000</v>
      </c>
      <c r="S64" s="7">
        <f t="shared" si="0"/>
        <v>0</v>
      </c>
      <c r="T64" s="7">
        <f t="shared" si="1"/>
        <v>1</v>
      </c>
    </row>
    <row r="65" spans="1:20" ht="28.8" x14ac:dyDescent="0.3">
      <c r="A65" s="1">
        <v>12.63</v>
      </c>
      <c r="B65" s="2" t="s">
        <v>145</v>
      </c>
      <c r="C65" s="10" t="s">
        <v>146</v>
      </c>
      <c r="E65" s="2" t="s">
        <v>23</v>
      </c>
      <c r="F65" s="2">
        <v>26</v>
      </c>
      <c r="G65" s="12">
        <v>3500</v>
      </c>
      <c r="H65" s="12">
        <f t="shared" si="2"/>
        <v>91000</v>
      </c>
      <c r="S65" s="7">
        <f t="shared" si="0"/>
        <v>0</v>
      </c>
      <c r="T65" s="7">
        <f t="shared" si="1"/>
        <v>26</v>
      </c>
    </row>
    <row r="66" spans="1:20" ht="57.6" x14ac:dyDescent="0.3">
      <c r="A66" s="1">
        <v>13.01</v>
      </c>
      <c r="B66" s="2" t="s">
        <v>147</v>
      </c>
      <c r="C66" s="10" t="s">
        <v>148</v>
      </c>
      <c r="D66" s="10" t="s">
        <v>149</v>
      </c>
      <c r="E66" s="2" t="s">
        <v>150</v>
      </c>
      <c r="F66" s="2">
        <v>220</v>
      </c>
      <c r="G66" s="12">
        <v>150</v>
      </c>
      <c r="H66" s="12">
        <f t="shared" si="2"/>
        <v>33000</v>
      </c>
      <c r="S66" s="7">
        <f t="shared" ref="S66:S129" si="3">SUM(I66:R66)</f>
        <v>0</v>
      </c>
      <c r="T66" s="7">
        <f t="shared" ref="T66:T129" si="4">F66-S66</f>
        <v>220</v>
      </c>
    </row>
    <row r="67" spans="1:20" ht="43.2" x14ac:dyDescent="0.3">
      <c r="A67" s="1">
        <v>13.02</v>
      </c>
      <c r="B67" s="2" t="s">
        <v>151</v>
      </c>
      <c r="C67" s="10" t="s">
        <v>148</v>
      </c>
      <c r="D67" s="10" t="s">
        <v>152</v>
      </c>
      <c r="E67" s="2" t="s">
        <v>23</v>
      </c>
      <c r="F67" s="2">
        <v>4</v>
      </c>
      <c r="G67" s="12">
        <v>11500</v>
      </c>
      <c r="H67" s="12">
        <f t="shared" si="2"/>
        <v>46000</v>
      </c>
      <c r="S67" s="7">
        <f t="shared" si="3"/>
        <v>0</v>
      </c>
      <c r="T67" s="7">
        <f t="shared" si="4"/>
        <v>4</v>
      </c>
    </row>
    <row r="68" spans="1:20" ht="28.8" x14ac:dyDescent="0.3">
      <c r="A68" s="1">
        <v>13.03</v>
      </c>
      <c r="B68" s="2" t="s">
        <v>153</v>
      </c>
      <c r="C68" s="10" t="s">
        <v>148</v>
      </c>
      <c r="D68" s="10" t="s">
        <v>154</v>
      </c>
      <c r="E68" s="2" t="s">
        <v>23</v>
      </c>
      <c r="F68" s="2">
        <v>9</v>
      </c>
      <c r="G68" s="12">
        <v>2100</v>
      </c>
      <c r="H68" s="12">
        <f t="shared" ref="H68:H131" si="5">F68*G68</f>
        <v>18900</v>
      </c>
      <c r="S68" s="7">
        <f t="shared" si="3"/>
        <v>0</v>
      </c>
      <c r="T68" s="7">
        <f t="shared" si="4"/>
        <v>9</v>
      </c>
    </row>
    <row r="69" spans="1:20" ht="72" x14ac:dyDescent="0.3">
      <c r="A69" s="1">
        <v>13.04</v>
      </c>
      <c r="B69" s="2" t="s">
        <v>155</v>
      </c>
      <c r="C69" s="10" t="s">
        <v>148</v>
      </c>
      <c r="D69" s="10" t="s">
        <v>156</v>
      </c>
      <c r="E69" s="2" t="s">
        <v>23</v>
      </c>
      <c r="F69" s="2">
        <v>144</v>
      </c>
      <c r="G69" s="12">
        <v>14000</v>
      </c>
      <c r="H69" s="12">
        <f t="shared" si="5"/>
        <v>2016000</v>
      </c>
      <c r="S69" s="7">
        <f t="shared" si="3"/>
        <v>0</v>
      </c>
      <c r="T69" s="7">
        <f t="shared" si="4"/>
        <v>144</v>
      </c>
    </row>
    <row r="70" spans="1:20" ht="72" x14ac:dyDescent="0.3">
      <c r="A70" s="1">
        <v>13.05</v>
      </c>
      <c r="B70" s="2" t="s">
        <v>157</v>
      </c>
      <c r="C70" s="10" t="s">
        <v>148</v>
      </c>
      <c r="D70" s="10" t="s">
        <v>158</v>
      </c>
      <c r="E70" s="2" t="s">
        <v>23</v>
      </c>
      <c r="F70" s="2">
        <v>35</v>
      </c>
      <c r="G70" s="12">
        <v>7440</v>
      </c>
      <c r="H70" s="12">
        <f t="shared" si="5"/>
        <v>260400</v>
      </c>
      <c r="S70" s="7">
        <f t="shared" si="3"/>
        <v>0</v>
      </c>
      <c r="T70" s="7">
        <f t="shared" si="4"/>
        <v>35</v>
      </c>
    </row>
    <row r="71" spans="1:20" ht="43.2" x14ac:dyDescent="0.3">
      <c r="A71" s="1">
        <v>13.06</v>
      </c>
      <c r="B71" s="2" t="s">
        <v>159</v>
      </c>
      <c r="C71" s="10" t="s">
        <v>148</v>
      </c>
      <c r="D71" s="10" t="s">
        <v>160</v>
      </c>
      <c r="E71" s="2" t="s">
        <v>23</v>
      </c>
      <c r="F71" s="2">
        <v>119</v>
      </c>
      <c r="G71" s="12">
        <v>1300</v>
      </c>
      <c r="H71" s="12">
        <f t="shared" si="5"/>
        <v>154700</v>
      </c>
      <c r="S71" s="7">
        <f t="shared" si="3"/>
        <v>0</v>
      </c>
      <c r="T71" s="7">
        <f t="shared" si="4"/>
        <v>119</v>
      </c>
    </row>
    <row r="72" spans="1:20" ht="72" x14ac:dyDescent="0.3">
      <c r="A72" s="1">
        <v>13.07</v>
      </c>
      <c r="B72" s="2" t="s">
        <v>161</v>
      </c>
      <c r="C72" s="10" t="s">
        <v>148</v>
      </c>
      <c r="D72" s="10" t="s">
        <v>162</v>
      </c>
      <c r="E72" s="2" t="s">
        <v>23</v>
      </c>
      <c r="F72" s="2">
        <v>676</v>
      </c>
      <c r="G72" s="12">
        <v>260</v>
      </c>
      <c r="H72" s="12">
        <f t="shared" si="5"/>
        <v>175760</v>
      </c>
      <c r="S72" s="7">
        <f t="shared" si="3"/>
        <v>0</v>
      </c>
      <c r="T72" s="7">
        <f t="shared" si="4"/>
        <v>676</v>
      </c>
    </row>
    <row r="73" spans="1:20" ht="43.2" x14ac:dyDescent="0.3">
      <c r="A73" s="1">
        <v>13.08</v>
      </c>
      <c r="B73" s="2" t="s">
        <v>163</v>
      </c>
      <c r="C73" s="10" t="s">
        <v>148</v>
      </c>
      <c r="D73" s="10" t="s">
        <v>164</v>
      </c>
      <c r="E73" s="2" t="s">
        <v>23</v>
      </c>
      <c r="F73" s="2">
        <v>55</v>
      </c>
      <c r="G73" s="12">
        <v>72</v>
      </c>
      <c r="H73" s="12">
        <f t="shared" si="5"/>
        <v>3960</v>
      </c>
      <c r="S73" s="7">
        <f t="shared" si="3"/>
        <v>0</v>
      </c>
      <c r="T73" s="7">
        <f t="shared" si="4"/>
        <v>55</v>
      </c>
    </row>
    <row r="74" spans="1:20" ht="43.2" x14ac:dyDescent="0.3">
      <c r="A74" s="1">
        <v>13.09</v>
      </c>
      <c r="B74" s="2" t="s">
        <v>165</v>
      </c>
      <c r="C74" s="10" t="s">
        <v>148</v>
      </c>
      <c r="D74" s="10" t="s">
        <v>166</v>
      </c>
      <c r="E74" s="2" t="s">
        <v>23</v>
      </c>
      <c r="F74" s="2">
        <v>366</v>
      </c>
      <c r="G74" s="12">
        <v>75</v>
      </c>
      <c r="H74" s="12">
        <f t="shared" si="5"/>
        <v>27450</v>
      </c>
      <c r="S74" s="7">
        <f t="shared" si="3"/>
        <v>0</v>
      </c>
      <c r="T74" s="7">
        <f t="shared" si="4"/>
        <v>366</v>
      </c>
    </row>
    <row r="75" spans="1:20" ht="86.4" x14ac:dyDescent="0.3">
      <c r="A75" s="1">
        <v>13.1</v>
      </c>
      <c r="B75" s="2" t="s">
        <v>167</v>
      </c>
      <c r="C75" s="10" t="s">
        <v>148</v>
      </c>
      <c r="D75" s="10" t="s">
        <v>168</v>
      </c>
      <c r="E75" s="2" t="s">
        <v>23</v>
      </c>
      <c r="F75" s="2">
        <v>795</v>
      </c>
      <c r="G75" s="12">
        <v>290</v>
      </c>
      <c r="H75" s="12">
        <f t="shared" si="5"/>
        <v>230550</v>
      </c>
      <c r="S75" s="7">
        <f t="shared" si="3"/>
        <v>0</v>
      </c>
      <c r="T75" s="7">
        <f t="shared" si="4"/>
        <v>795</v>
      </c>
    </row>
    <row r="76" spans="1:20" ht="86.4" x14ac:dyDescent="0.3">
      <c r="A76" s="1">
        <v>13.11</v>
      </c>
      <c r="B76" s="2" t="s">
        <v>169</v>
      </c>
      <c r="C76" s="10" t="s">
        <v>148</v>
      </c>
      <c r="D76" s="10" t="s">
        <v>170</v>
      </c>
      <c r="E76" s="2" t="s">
        <v>23</v>
      </c>
      <c r="F76" s="2">
        <v>676</v>
      </c>
      <c r="G76" s="12">
        <v>260</v>
      </c>
      <c r="H76" s="12">
        <f t="shared" si="5"/>
        <v>175760</v>
      </c>
      <c r="S76" s="7">
        <f t="shared" si="3"/>
        <v>0</v>
      </c>
      <c r="T76" s="7">
        <f t="shared" si="4"/>
        <v>676</v>
      </c>
    </row>
    <row r="77" spans="1:20" ht="86.4" x14ac:dyDescent="0.3">
      <c r="A77" s="1">
        <v>13.12</v>
      </c>
      <c r="B77" s="2" t="s">
        <v>171</v>
      </c>
      <c r="C77" s="10" t="s">
        <v>148</v>
      </c>
      <c r="D77" s="10" t="s">
        <v>172</v>
      </c>
      <c r="E77" s="2" t="s">
        <v>23</v>
      </c>
      <c r="F77" s="2">
        <v>20</v>
      </c>
      <c r="G77" s="12">
        <v>470</v>
      </c>
      <c r="H77" s="12">
        <f t="shared" si="5"/>
        <v>9400</v>
      </c>
      <c r="S77" s="7">
        <f t="shared" si="3"/>
        <v>0</v>
      </c>
      <c r="T77" s="7">
        <f t="shared" si="4"/>
        <v>20</v>
      </c>
    </row>
    <row r="78" spans="1:20" ht="28.8" x14ac:dyDescent="0.3">
      <c r="A78" s="1">
        <v>13.13</v>
      </c>
      <c r="B78" s="2" t="s">
        <v>173</v>
      </c>
      <c r="C78" s="10" t="s">
        <v>148</v>
      </c>
      <c r="D78" s="10" t="s">
        <v>174</v>
      </c>
      <c r="E78" s="2" t="s">
        <v>23</v>
      </c>
      <c r="F78" s="2">
        <v>35</v>
      </c>
      <c r="G78" s="12">
        <v>650</v>
      </c>
      <c r="H78" s="12">
        <f t="shared" si="5"/>
        <v>22750</v>
      </c>
      <c r="S78" s="7">
        <f t="shared" si="3"/>
        <v>0</v>
      </c>
      <c r="T78" s="7">
        <f t="shared" si="4"/>
        <v>35</v>
      </c>
    </row>
    <row r="79" spans="1:20" ht="43.2" x14ac:dyDescent="0.3">
      <c r="A79" s="1">
        <v>13.14</v>
      </c>
      <c r="B79" s="2" t="s">
        <v>175</v>
      </c>
      <c r="C79" s="10" t="s">
        <v>60</v>
      </c>
      <c r="E79" s="2" t="s">
        <v>23</v>
      </c>
      <c r="F79" s="2">
        <v>2</v>
      </c>
      <c r="G79" s="12">
        <v>32000</v>
      </c>
      <c r="H79" s="12">
        <f t="shared" si="5"/>
        <v>64000</v>
      </c>
      <c r="S79" s="7">
        <f t="shared" si="3"/>
        <v>0</v>
      </c>
      <c r="T79" s="7">
        <f t="shared" si="4"/>
        <v>2</v>
      </c>
    </row>
    <row r="80" spans="1:20" ht="43.2" x14ac:dyDescent="0.3">
      <c r="A80" s="1">
        <v>13.15</v>
      </c>
      <c r="B80" s="2" t="s">
        <v>176</v>
      </c>
      <c r="C80" s="10" t="s">
        <v>60</v>
      </c>
      <c r="E80" s="2" t="s">
        <v>23</v>
      </c>
      <c r="F80" s="2">
        <v>2</v>
      </c>
      <c r="G80" s="12">
        <v>41000</v>
      </c>
      <c r="H80" s="12">
        <f t="shared" si="5"/>
        <v>82000</v>
      </c>
      <c r="S80" s="7">
        <f t="shared" si="3"/>
        <v>0</v>
      </c>
      <c r="T80" s="7">
        <f t="shared" si="4"/>
        <v>2</v>
      </c>
    </row>
    <row r="81" spans="1:20" ht="43.2" x14ac:dyDescent="0.3">
      <c r="A81" s="1">
        <v>13.16</v>
      </c>
      <c r="B81" s="2" t="s">
        <v>177</v>
      </c>
      <c r="C81" s="10" t="s">
        <v>60</v>
      </c>
      <c r="E81" s="2" t="s">
        <v>23</v>
      </c>
      <c r="F81" s="2">
        <v>1</v>
      </c>
      <c r="G81" s="12">
        <v>44000</v>
      </c>
      <c r="H81" s="12">
        <f t="shared" si="5"/>
        <v>44000</v>
      </c>
      <c r="S81" s="7">
        <f t="shared" si="3"/>
        <v>0</v>
      </c>
      <c r="T81" s="7">
        <f t="shared" si="4"/>
        <v>1</v>
      </c>
    </row>
    <row r="82" spans="1:20" ht="43.2" x14ac:dyDescent="0.3">
      <c r="A82" s="1">
        <v>14.01</v>
      </c>
      <c r="B82" s="2" t="s">
        <v>178</v>
      </c>
      <c r="C82" s="10" t="s">
        <v>179</v>
      </c>
      <c r="D82" s="10" t="s">
        <v>180</v>
      </c>
      <c r="E82" s="2" t="s">
        <v>23</v>
      </c>
      <c r="F82" s="2">
        <v>49</v>
      </c>
      <c r="G82" s="12">
        <v>13000</v>
      </c>
      <c r="H82" s="12">
        <f t="shared" si="5"/>
        <v>637000</v>
      </c>
      <c r="S82" s="7">
        <f t="shared" si="3"/>
        <v>0</v>
      </c>
      <c r="T82" s="7">
        <f t="shared" si="4"/>
        <v>49</v>
      </c>
    </row>
    <row r="83" spans="1:20" ht="43.2" x14ac:dyDescent="0.3">
      <c r="A83" s="1">
        <v>14.02</v>
      </c>
      <c r="B83" s="2" t="s">
        <v>181</v>
      </c>
      <c r="C83" s="10" t="s">
        <v>179</v>
      </c>
      <c r="D83" s="10" t="s">
        <v>182</v>
      </c>
      <c r="E83" s="2" t="s">
        <v>23</v>
      </c>
      <c r="F83" s="2">
        <v>6</v>
      </c>
      <c r="G83" s="12">
        <v>41000</v>
      </c>
      <c r="H83" s="12">
        <f t="shared" si="5"/>
        <v>246000</v>
      </c>
      <c r="S83" s="7">
        <f t="shared" si="3"/>
        <v>0</v>
      </c>
      <c r="T83" s="7">
        <f t="shared" si="4"/>
        <v>6</v>
      </c>
    </row>
    <row r="84" spans="1:20" ht="72" x14ac:dyDescent="0.3">
      <c r="A84" s="1">
        <v>14.03</v>
      </c>
      <c r="B84" s="2" t="s">
        <v>183</v>
      </c>
      <c r="C84" s="10" t="s">
        <v>179</v>
      </c>
      <c r="D84" s="10" t="s">
        <v>184</v>
      </c>
      <c r="E84" s="2" t="s">
        <v>23</v>
      </c>
      <c r="F84" s="2">
        <v>3</v>
      </c>
      <c r="G84" s="12">
        <v>118350</v>
      </c>
      <c r="H84" s="12">
        <f t="shared" si="5"/>
        <v>355050</v>
      </c>
      <c r="S84" s="7">
        <f t="shared" si="3"/>
        <v>0</v>
      </c>
      <c r="T84" s="7">
        <f t="shared" si="4"/>
        <v>3</v>
      </c>
    </row>
    <row r="85" spans="1:20" ht="28.8" x14ac:dyDescent="0.3">
      <c r="A85" s="1">
        <v>14.04</v>
      </c>
      <c r="B85" s="2" t="s">
        <v>185</v>
      </c>
      <c r="C85" s="10" t="s">
        <v>186</v>
      </c>
      <c r="E85" s="2" t="s">
        <v>23</v>
      </c>
      <c r="F85" s="2">
        <v>7</v>
      </c>
      <c r="G85" s="12">
        <v>33000</v>
      </c>
      <c r="H85" s="12">
        <f t="shared" si="5"/>
        <v>231000</v>
      </c>
      <c r="S85" s="7">
        <f t="shared" si="3"/>
        <v>0</v>
      </c>
      <c r="T85" s="7">
        <f t="shared" si="4"/>
        <v>7</v>
      </c>
    </row>
    <row r="86" spans="1:20" ht="43.2" x14ac:dyDescent="0.3">
      <c r="A86" s="1">
        <v>14.05</v>
      </c>
      <c r="B86" s="2" t="s">
        <v>187</v>
      </c>
      <c r="E86" s="2" t="s">
        <v>23</v>
      </c>
      <c r="F86" s="2">
        <v>1</v>
      </c>
      <c r="G86" s="12">
        <v>92000</v>
      </c>
      <c r="H86" s="12">
        <f t="shared" si="5"/>
        <v>92000</v>
      </c>
      <c r="S86" s="7">
        <f t="shared" si="3"/>
        <v>0</v>
      </c>
      <c r="T86" s="7">
        <f t="shared" si="4"/>
        <v>1</v>
      </c>
    </row>
    <row r="87" spans="1:20" ht="86.4" x14ac:dyDescent="0.3">
      <c r="A87" s="1">
        <v>14.06</v>
      </c>
      <c r="B87" s="2" t="s">
        <v>188</v>
      </c>
      <c r="C87" s="10" t="s">
        <v>21</v>
      </c>
      <c r="D87" s="10" t="s">
        <v>22</v>
      </c>
      <c r="E87" s="2" t="s">
        <v>23</v>
      </c>
      <c r="F87" s="2">
        <v>2</v>
      </c>
      <c r="G87" s="12">
        <v>65000</v>
      </c>
      <c r="H87" s="12">
        <f t="shared" si="5"/>
        <v>130000</v>
      </c>
      <c r="S87" s="7">
        <f t="shared" si="3"/>
        <v>0</v>
      </c>
      <c r="T87" s="7">
        <f t="shared" si="4"/>
        <v>2</v>
      </c>
    </row>
    <row r="88" spans="1:20" ht="28.8" x14ac:dyDescent="0.3">
      <c r="A88" s="1">
        <v>14.07</v>
      </c>
      <c r="B88" s="2" t="s">
        <v>189</v>
      </c>
      <c r="C88" s="10" t="s">
        <v>60</v>
      </c>
      <c r="E88" s="2" t="s">
        <v>23</v>
      </c>
      <c r="F88" s="2">
        <v>1</v>
      </c>
      <c r="G88" s="12">
        <v>32000</v>
      </c>
      <c r="H88" s="12">
        <f t="shared" si="5"/>
        <v>32000</v>
      </c>
      <c r="S88" s="7">
        <f t="shared" si="3"/>
        <v>0</v>
      </c>
      <c r="T88" s="7">
        <f t="shared" si="4"/>
        <v>1</v>
      </c>
    </row>
    <row r="89" spans="1:20" ht="129.6" x14ac:dyDescent="0.3">
      <c r="A89" s="1">
        <v>15.01</v>
      </c>
      <c r="B89" s="2" t="s">
        <v>190</v>
      </c>
      <c r="C89" s="10" t="s">
        <v>191</v>
      </c>
      <c r="D89" s="10" t="s">
        <v>192</v>
      </c>
      <c r="E89" s="2" t="s">
        <v>23</v>
      </c>
      <c r="F89" s="2">
        <v>39</v>
      </c>
      <c r="G89" s="12">
        <v>42000</v>
      </c>
      <c r="H89" s="12">
        <f t="shared" si="5"/>
        <v>1638000</v>
      </c>
      <c r="S89" s="7">
        <f t="shared" si="3"/>
        <v>0</v>
      </c>
      <c r="T89" s="7">
        <f t="shared" si="4"/>
        <v>39</v>
      </c>
    </row>
    <row r="90" spans="1:20" ht="100.8" x14ac:dyDescent="0.3">
      <c r="A90" s="1">
        <v>15.02</v>
      </c>
      <c r="B90" s="2" t="s">
        <v>193</v>
      </c>
      <c r="C90" s="10" t="s">
        <v>194</v>
      </c>
      <c r="D90" s="10" t="s">
        <v>195</v>
      </c>
      <c r="E90" s="2" t="s">
        <v>23</v>
      </c>
      <c r="F90" s="2">
        <v>78</v>
      </c>
      <c r="G90" s="12">
        <v>184000</v>
      </c>
      <c r="H90" s="12">
        <f t="shared" si="5"/>
        <v>14352000</v>
      </c>
      <c r="S90" s="7">
        <f t="shared" si="3"/>
        <v>0</v>
      </c>
      <c r="T90" s="7">
        <f t="shared" si="4"/>
        <v>78</v>
      </c>
    </row>
    <row r="91" spans="1:20" ht="158.4" x14ac:dyDescent="0.3">
      <c r="A91" s="1">
        <v>15.03</v>
      </c>
      <c r="B91" s="2" t="s">
        <v>196</v>
      </c>
      <c r="C91" s="10" t="s">
        <v>197</v>
      </c>
      <c r="E91" s="2" t="s">
        <v>23</v>
      </c>
      <c r="F91" s="2">
        <v>24</v>
      </c>
      <c r="G91" s="12">
        <v>314000</v>
      </c>
      <c r="H91" s="12">
        <f t="shared" si="5"/>
        <v>7536000</v>
      </c>
      <c r="S91" s="7">
        <f t="shared" si="3"/>
        <v>0</v>
      </c>
      <c r="T91" s="7">
        <f t="shared" si="4"/>
        <v>24</v>
      </c>
    </row>
    <row r="92" spans="1:20" ht="28.8" x14ac:dyDescent="0.3">
      <c r="A92" s="1">
        <v>15.04</v>
      </c>
      <c r="B92" s="2" t="s">
        <v>198</v>
      </c>
      <c r="C92" s="10" t="s">
        <v>199</v>
      </c>
      <c r="E92" s="2" t="s">
        <v>23</v>
      </c>
      <c r="F92" s="2">
        <v>13</v>
      </c>
      <c r="G92" s="12">
        <v>3200</v>
      </c>
      <c r="H92" s="12">
        <f t="shared" si="5"/>
        <v>41600</v>
      </c>
      <c r="S92" s="7">
        <f t="shared" si="3"/>
        <v>0</v>
      </c>
      <c r="T92" s="7">
        <f t="shared" si="4"/>
        <v>13</v>
      </c>
    </row>
    <row r="93" spans="1:20" ht="28.8" x14ac:dyDescent="0.3">
      <c r="A93" s="1">
        <v>15.05</v>
      </c>
      <c r="B93" s="2" t="s">
        <v>200</v>
      </c>
      <c r="C93" s="10" t="s">
        <v>199</v>
      </c>
      <c r="E93" s="2" t="s">
        <v>23</v>
      </c>
      <c r="F93" s="2">
        <v>5</v>
      </c>
      <c r="G93" s="12">
        <v>3850</v>
      </c>
      <c r="H93" s="12">
        <f t="shared" si="5"/>
        <v>19250</v>
      </c>
      <c r="S93" s="7">
        <f t="shared" si="3"/>
        <v>0</v>
      </c>
      <c r="T93" s="7">
        <f t="shared" si="4"/>
        <v>5</v>
      </c>
    </row>
    <row r="94" spans="1:20" ht="28.8" x14ac:dyDescent="0.3">
      <c r="A94" s="1">
        <v>15.06</v>
      </c>
      <c r="B94" s="2" t="s">
        <v>201</v>
      </c>
      <c r="C94" s="10" t="s">
        <v>199</v>
      </c>
      <c r="E94" s="2" t="s">
        <v>23</v>
      </c>
      <c r="F94" s="2">
        <v>8</v>
      </c>
      <c r="G94" s="12">
        <v>6600</v>
      </c>
      <c r="H94" s="12">
        <f t="shared" si="5"/>
        <v>52800</v>
      </c>
      <c r="S94" s="7">
        <f t="shared" si="3"/>
        <v>0</v>
      </c>
      <c r="T94" s="7">
        <f t="shared" si="4"/>
        <v>8</v>
      </c>
    </row>
    <row r="95" spans="1:20" ht="28.8" x14ac:dyDescent="0.3">
      <c r="A95" s="1">
        <v>15.07</v>
      </c>
      <c r="B95" s="2" t="s">
        <v>202</v>
      </c>
      <c r="C95" s="10" t="s">
        <v>199</v>
      </c>
      <c r="E95" s="2" t="s">
        <v>23</v>
      </c>
      <c r="F95" s="2">
        <v>13</v>
      </c>
      <c r="G95" s="12">
        <v>400</v>
      </c>
      <c r="H95" s="12">
        <f t="shared" si="5"/>
        <v>5200</v>
      </c>
      <c r="S95" s="7">
        <f t="shared" si="3"/>
        <v>0</v>
      </c>
      <c r="T95" s="7">
        <f t="shared" si="4"/>
        <v>13</v>
      </c>
    </row>
    <row r="96" spans="1:20" ht="28.8" x14ac:dyDescent="0.3">
      <c r="A96" s="1">
        <v>15.08</v>
      </c>
      <c r="B96" s="2" t="s">
        <v>203</v>
      </c>
      <c r="C96" s="10" t="s">
        <v>179</v>
      </c>
      <c r="D96" s="10" t="s">
        <v>204</v>
      </c>
      <c r="E96" s="2" t="s">
        <v>23</v>
      </c>
      <c r="F96" s="2">
        <v>300</v>
      </c>
      <c r="G96" s="12">
        <v>230</v>
      </c>
      <c r="H96" s="12">
        <f t="shared" si="5"/>
        <v>69000</v>
      </c>
      <c r="S96" s="7">
        <f t="shared" si="3"/>
        <v>0</v>
      </c>
      <c r="T96" s="7">
        <f t="shared" si="4"/>
        <v>300</v>
      </c>
    </row>
    <row r="97" spans="1:20" ht="144" x14ac:dyDescent="0.3">
      <c r="A97" s="1">
        <v>15.09</v>
      </c>
      <c r="B97" s="2" t="s">
        <v>205</v>
      </c>
      <c r="C97" s="10" t="s">
        <v>191</v>
      </c>
      <c r="D97" s="10" t="s">
        <v>206</v>
      </c>
      <c r="E97" s="2" t="s">
        <v>207</v>
      </c>
      <c r="F97" s="2">
        <v>1</v>
      </c>
      <c r="G97" s="12">
        <v>208000</v>
      </c>
      <c r="H97" s="12">
        <f t="shared" si="5"/>
        <v>208000</v>
      </c>
      <c r="S97" s="7">
        <f t="shared" si="3"/>
        <v>0</v>
      </c>
      <c r="T97" s="7">
        <f t="shared" si="4"/>
        <v>1</v>
      </c>
    </row>
    <row r="98" spans="1:20" ht="28.8" x14ac:dyDescent="0.3">
      <c r="A98" s="1">
        <v>15.1</v>
      </c>
      <c r="B98" s="2" t="s">
        <v>208</v>
      </c>
      <c r="C98" s="10" t="s">
        <v>209</v>
      </c>
      <c r="E98" s="2" t="s">
        <v>210</v>
      </c>
      <c r="F98" s="2">
        <v>800</v>
      </c>
      <c r="G98" s="12">
        <v>145</v>
      </c>
      <c r="H98" s="12">
        <f t="shared" si="5"/>
        <v>116000</v>
      </c>
      <c r="S98" s="7">
        <f t="shared" si="3"/>
        <v>0</v>
      </c>
      <c r="T98" s="7">
        <f t="shared" si="4"/>
        <v>800</v>
      </c>
    </row>
    <row r="99" spans="1:20" ht="43.2" x14ac:dyDescent="0.3">
      <c r="A99" s="1">
        <v>15.11</v>
      </c>
      <c r="B99" s="2" t="s">
        <v>211</v>
      </c>
      <c r="C99" s="10" t="s">
        <v>209</v>
      </c>
      <c r="E99" s="2" t="s">
        <v>210</v>
      </c>
      <c r="F99" s="2">
        <v>700</v>
      </c>
      <c r="G99" s="12">
        <v>85</v>
      </c>
      <c r="H99" s="12">
        <f t="shared" si="5"/>
        <v>59500</v>
      </c>
      <c r="S99" s="7">
        <f t="shared" si="3"/>
        <v>0</v>
      </c>
      <c r="T99" s="7">
        <f t="shared" si="4"/>
        <v>700</v>
      </c>
    </row>
    <row r="100" spans="1:20" ht="43.2" x14ac:dyDescent="0.3">
      <c r="A100" s="1">
        <v>15.12</v>
      </c>
      <c r="B100" s="2" t="s">
        <v>212</v>
      </c>
      <c r="C100" s="10" t="s">
        <v>209</v>
      </c>
      <c r="E100" s="2" t="s">
        <v>210</v>
      </c>
      <c r="F100" s="2">
        <v>900</v>
      </c>
      <c r="G100" s="12">
        <v>70</v>
      </c>
      <c r="H100" s="12">
        <f t="shared" si="5"/>
        <v>63000</v>
      </c>
      <c r="S100" s="7">
        <f t="shared" si="3"/>
        <v>0</v>
      </c>
      <c r="T100" s="7">
        <f t="shared" si="4"/>
        <v>900</v>
      </c>
    </row>
    <row r="101" spans="1:20" ht="43.2" x14ac:dyDescent="0.3">
      <c r="A101" s="1" t="s">
        <v>213</v>
      </c>
      <c r="B101" s="2" t="s">
        <v>214</v>
      </c>
      <c r="C101" s="10" t="s">
        <v>215</v>
      </c>
      <c r="D101" s="10" t="s">
        <v>216</v>
      </c>
      <c r="E101" s="2" t="s">
        <v>23</v>
      </c>
      <c r="F101" s="2">
        <v>60</v>
      </c>
      <c r="G101" s="12">
        <v>865</v>
      </c>
      <c r="H101" s="12">
        <f t="shared" si="5"/>
        <v>51900</v>
      </c>
      <c r="S101" s="7">
        <f t="shared" si="3"/>
        <v>0</v>
      </c>
      <c r="T101" s="7">
        <f t="shared" si="4"/>
        <v>60</v>
      </c>
    </row>
    <row r="102" spans="1:20" ht="57.6" x14ac:dyDescent="0.3">
      <c r="A102" s="1" t="s">
        <v>217</v>
      </c>
      <c r="B102" s="2" t="s">
        <v>218</v>
      </c>
      <c r="C102" s="10" t="s">
        <v>215</v>
      </c>
      <c r="D102" s="10" t="s">
        <v>219</v>
      </c>
      <c r="E102" s="2" t="s">
        <v>23</v>
      </c>
      <c r="F102" s="2">
        <v>6</v>
      </c>
      <c r="G102" s="12">
        <v>1426</v>
      </c>
      <c r="H102" s="12">
        <f t="shared" si="5"/>
        <v>8556</v>
      </c>
      <c r="S102" s="7">
        <f t="shared" si="3"/>
        <v>0</v>
      </c>
      <c r="T102" s="7">
        <f t="shared" si="4"/>
        <v>6</v>
      </c>
    </row>
    <row r="103" spans="1:20" ht="86.4" x14ac:dyDescent="0.3">
      <c r="A103" s="1" t="s">
        <v>220</v>
      </c>
      <c r="B103" s="2" t="s">
        <v>221</v>
      </c>
      <c r="C103" s="10" t="s">
        <v>222</v>
      </c>
      <c r="E103" s="2" t="s">
        <v>150</v>
      </c>
      <c r="F103" s="2">
        <v>2000</v>
      </c>
      <c r="G103" s="12">
        <v>86</v>
      </c>
      <c r="H103" s="12">
        <f t="shared" si="5"/>
        <v>172000</v>
      </c>
      <c r="S103" s="7">
        <f t="shared" si="3"/>
        <v>0</v>
      </c>
      <c r="T103" s="7">
        <f t="shared" si="4"/>
        <v>2000</v>
      </c>
    </row>
    <row r="104" spans="1:20" ht="57.6" x14ac:dyDescent="0.3">
      <c r="A104" s="1" t="s">
        <v>223</v>
      </c>
      <c r="B104" s="2" t="s">
        <v>224</v>
      </c>
      <c r="C104" s="10" t="s">
        <v>215</v>
      </c>
      <c r="D104" s="10" t="s">
        <v>225</v>
      </c>
      <c r="E104" s="2" t="s">
        <v>23</v>
      </c>
      <c r="F104" s="2">
        <v>6</v>
      </c>
      <c r="G104" s="12">
        <v>30875</v>
      </c>
      <c r="H104" s="12">
        <f t="shared" si="5"/>
        <v>185250</v>
      </c>
      <c r="S104" s="7">
        <f t="shared" si="3"/>
        <v>0</v>
      </c>
      <c r="T104" s="7">
        <f t="shared" si="4"/>
        <v>6</v>
      </c>
    </row>
    <row r="105" spans="1:20" ht="230.4" x14ac:dyDescent="0.3">
      <c r="A105" s="1" t="s">
        <v>226</v>
      </c>
      <c r="B105" s="2" t="s">
        <v>227</v>
      </c>
      <c r="C105" s="10" t="s">
        <v>228</v>
      </c>
      <c r="D105" s="10" t="s">
        <v>229</v>
      </c>
      <c r="E105" s="2" t="s">
        <v>23</v>
      </c>
      <c r="F105" s="2">
        <v>1</v>
      </c>
      <c r="G105" s="12">
        <v>195080</v>
      </c>
      <c r="H105" s="12">
        <f t="shared" si="5"/>
        <v>195080</v>
      </c>
      <c r="S105" s="7">
        <f t="shared" si="3"/>
        <v>0</v>
      </c>
      <c r="T105" s="7">
        <f t="shared" si="4"/>
        <v>1</v>
      </c>
    </row>
    <row r="106" spans="1:20" ht="57.6" x14ac:dyDescent="0.3">
      <c r="A106" s="1" t="s">
        <v>230</v>
      </c>
      <c r="B106" s="2" t="s">
        <v>231</v>
      </c>
      <c r="C106" s="10" t="s">
        <v>228</v>
      </c>
      <c r="D106" s="10" t="s">
        <v>232</v>
      </c>
      <c r="E106" s="2" t="s">
        <v>23</v>
      </c>
      <c r="F106" s="2">
        <v>1</v>
      </c>
      <c r="G106" s="12">
        <v>167265</v>
      </c>
      <c r="H106" s="12">
        <f t="shared" si="5"/>
        <v>167265</v>
      </c>
      <c r="S106" s="7">
        <f t="shared" si="3"/>
        <v>0</v>
      </c>
      <c r="T106" s="7">
        <f t="shared" si="4"/>
        <v>1</v>
      </c>
    </row>
    <row r="107" spans="1:20" ht="72" x14ac:dyDescent="0.3">
      <c r="A107" s="1" t="s">
        <v>233</v>
      </c>
      <c r="B107" s="2" t="s">
        <v>234</v>
      </c>
      <c r="C107" s="10" t="s">
        <v>228</v>
      </c>
      <c r="D107" s="10" t="s">
        <v>235</v>
      </c>
      <c r="E107" s="2" t="s">
        <v>23</v>
      </c>
      <c r="F107" s="2">
        <v>1</v>
      </c>
      <c r="G107" s="12">
        <v>71250</v>
      </c>
      <c r="H107" s="12">
        <f t="shared" si="5"/>
        <v>71250</v>
      </c>
      <c r="S107" s="7">
        <f t="shared" si="3"/>
        <v>0</v>
      </c>
      <c r="T107" s="7">
        <f t="shared" si="4"/>
        <v>1</v>
      </c>
    </row>
    <row r="108" spans="1:20" ht="72" x14ac:dyDescent="0.3">
      <c r="A108" s="1" t="s">
        <v>236</v>
      </c>
      <c r="B108" s="2" t="s">
        <v>237</v>
      </c>
      <c r="C108" s="10" t="s">
        <v>228</v>
      </c>
      <c r="D108" s="10" t="s">
        <v>238</v>
      </c>
      <c r="E108" s="2" t="s">
        <v>239</v>
      </c>
      <c r="F108" s="2">
        <v>100</v>
      </c>
      <c r="G108" s="12">
        <v>2281</v>
      </c>
      <c r="H108" s="12">
        <f t="shared" si="5"/>
        <v>228100</v>
      </c>
      <c r="S108" s="7">
        <f t="shared" si="3"/>
        <v>0</v>
      </c>
      <c r="T108" s="7">
        <f t="shared" si="4"/>
        <v>100</v>
      </c>
    </row>
    <row r="109" spans="1:20" ht="57.6" x14ac:dyDescent="0.3">
      <c r="A109" s="1" t="s">
        <v>240</v>
      </c>
      <c r="B109" s="2" t="s">
        <v>241</v>
      </c>
      <c r="C109" s="10" t="s">
        <v>228</v>
      </c>
      <c r="D109" s="10" t="s">
        <v>242</v>
      </c>
      <c r="E109" s="2" t="s">
        <v>239</v>
      </c>
      <c r="F109" s="2">
        <v>20</v>
      </c>
      <c r="G109" s="12">
        <v>2328</v>
      </c>
      <c r="H109" s="12">
        <f t="shared" si="5"/>
        <v>46560</v>
      </c>
      <c r="S109" s="7">
        <f t="shared" si="3"/>
        <v>0</v>
      </c>
      <c r="T109" s="7">
        <f t="shared" si="4"/>
        <v>20</v>
      </c>
    </row>
    <row r="110" spans="1:20" ht="72" x14ac:dyDescent="0.3">
      <c r="A110" s="1" t="s">
        <v>243</v>
      </c>
      <c r="B110" s="2" t="s">
        <v>244</v>
      </c>
      <c r="C110" s="10" t="s">
        <v>228</v>
      </c>
      <c r="E110" s="2" t="s">
        <v>239</v>
      </c>
      <c r="F110" s="2">
        <v>50</v>
      </c>
      <c r="G110" s="12">
        <v>115</v>
      </c>
      <c r="H110" s="12">
        <f t="shared" si="5"/>
        <v>5750</v>
      </c>
      <c r="S110" s="7">
        <f t="shared" si="3"/>
        <v>0</v>
      </c>
      <c r="T110" s="7">
        <f t="shared" si="4"/>
        <v>50</v>
      </c>
    </row>
    <row r="111" spans="1:20" ht="43.2" x14ac:dyDescent="0.3">
      <c r="A111" s="1" t="s">
        <v>245</v>
      </c>
      <c r="B111" s="2" t="s">
        <v>246</v>
      </c>
      <c r="C111" s="10" t="s">
        <v>228</v>
      </c>
      <c r="E111" s="2" t="s">
        <v>239</v>
      </c>
      <c r="F111" s="2">
        <v>10</v>
      </c>
      <c r="G111" s="12">
        <v>1200</v>
      </c>
      <c r="H111" s="12">
        <f t="shared" si="5"/>
        <v>12000</v>
      </c>
      <c r="S111" s="7">
        <f t="shared" si="3"/>
        <v>0</v>
      </c>
      <c r="T111" s="7">
        <f t="shared" si="4"/>
        <v>10</v>
      </c>
    </row>
    <row r="112" spans="1:20" ht="57.6" x14ac:dyDescent="0.3">
      <c r="A112" s="1" t="s">
        <v>247</v>
      </c>
      <c r="B112" s="2" t="s">
        <v>248</v>
      </c>
      <c r="C112" s="10" t="s">
        <v>228</v>
      </c>
      <c r="D112" s="10" t="s">
        <v>249</v>
      </c>
      <c r="E112" s="2" t="s">
        <v>239</v>
      </c>
      <c r="F112" s="2">
        <v>10</v>
      </c>
      <c r="G112" s="12">
        <v>3136</v>
      </c>
      <c r="H112" s="12">
        <f t="shared" si="5"/>
        <v>31360</v>
      </c>
      <c r="S112" s="7">
        <f t="shared" si="3"/>
        <v>0</v>
      </c>
      <c r="T112" s="7">
        <f t="shared" si="4"/>
        <v>10</v>
      </c>
    </row>
    <row r="113" spans="1:20" ht="72" x14ac:dyDescent="0.3">
      <c r="A113" s="1" t="s">
        <v>250</v>
      </c>
      <c r="B113" s="2" t="s">
        <v>251</v>
      </c>
      <c r="C113" s="10" t="s">
        <v>228</v>
      </c>
      <c r="D113" s="10" t="s">
        <v>252</v>
      </c>
      <c r="E113" s="2" t="s">
        <v>23</v>
      </c>
      <c r="F113" s="2">
        <v>8</v>
      </c>
      <c r="G113" s="12">
        <v>3658</v>
      </c>
      <c r="H113" s="12">
        <f t="shared" si="5"/>
        <v>29264</v>
      </c>
      <c r="J113" s="8"/>
      <c r="S113" s="7">
        <f t="shared" si="3"/>
        <v>0</v>
      </c>
      <c r="T113" s="7">
        <f t="shared" si="4"/>
        <v>8</v>
      </c>
    </row>
    <row r="114" spans="1:20" ht="57.6" x14ac:dyDescent="0.3">
      <c r="A114" s="1" t="s">
        <v>253</v>
      </c>
      <c r="B114" s="2" t="s">
        <v>254</v>
      </c>
      <c r="E114" s="2" t="s">
        <v>150</v>
      </c>
      <c r="F114" s="2">
        <v>300</v>
      </c>
      <c r="G114" s="12">
        <v>67</v>
      </c>
      <c r="H114" s="12">
        <f t="shared" si="5"/>
        <v>20100</v>
      </c>
      <c r="S114" s="7">
        <f t="shared" si="3"/>
        <v>0</v>
      </c>
      <c r="T114" s="7">
        <f t="shared" si="4"/>
        <v>300</v>
      </c>
    </row>
    <row r="115" spans="1:20" ht="100.8" x14ac:dyDescent="0.3">
      <c r="A115" s="1" t="s">
        <v>255</v>
      </c>
      <c r="B115" s="2" t="s">
        <v>256</v>
      </c>
      <c r="C115" s="10" t="s">
        <v>222</v>
      </c>
      <c r="E115" s="2" t="s">
        <v>150</v>
      </c>
      <c r="F115" s="2">
        <v>2000</v>
      </c>
      <c r="G115" s="12">
        <v>162</v>
      </c>
      <c r="H115" s="12">
        <f t="shared" si="5"/>
        <v>324000</v>
      </c>
      <c r="S115" s="7">
        <f t="shared" si="3"/>
        <v>0</v>
      </c>
      <c r="T115" s="7">
        <f t="shared" si="4"/>
        <v>2000</v>
      </c>
    </row>
    <row r="116" spans="1:20" ht="72" x14ac:dyDescent="0.3">
      <c r="A116" s="1" t="s">
        <v>257</v>
      </c>
      <c r="B116" s="2" t="s">
        <v>258</v>
      </c>
      <c r="E116" s="2" t="s">
        <v>23</v>
      </c>
      <c r="F116" s="2">
        <v>30</v>
      </c>
      <c r="G116" s="12">
        <v>808</v>
      </c>
      <c r="H116" s="12">
        <f t="shared" si="5"/>
        <v>24240</v>
      </c>
      <c r="S116" s="7">
        <f t="shared" si="3"/>
        <v>0</v>
      </c>
      <c r="T116" s="7">
        <f t="shared" si="4"/>
        <v>30</v>
      </c>
    </row>
    <row r="117" spans="1:20" ht="86.4" x14ac:dyDescent="0.3">
      <c r="A117" s="1" t="s">
        <v>259</v>
      </c>
      <c r="B117" s="2" t="s">
        <v>260</v>
      </c>
      <c r="E117" s="2" t="s">
        <v>23</v>
      </c>
      <c r="F117" s="2">
        <v>3</v>
      </c>
      <c r="G117" s="12">
        <v>26876</v>
      </c>
      <c r="H117" s="12">
        <f t="shared" si="5"/>
        <v>80628</v>
      </c>
      <c r="S117" s="7">
        <f t="shared" si="3"/>
        <v>0</v>
      </c>
      <c r="T117" s="7">
        <f t="shared" si="4"/>
        <v>3</v>
      </c>
    </row>
    <row r="118" spans="1:20" ht="158.4" x14ac:dyDescent="0.3">
      <c r="A118" s="1" t="s">
        <v>261</v>
      </c>
      <c r="B118" s="2" t="s">
        <v>262</v>
      </c>
      <c r="E118" s="2" t="s">
        <v>150</v>
      </c>
      <c r="F118" s="2">
        <v>10</v>
      </c>
      <c r="G118" s="12">
        <v>1038</v>
      </c>
      <c r="H118" s="12">
        <f t="shared" si="5"/>
        <v>10380</v>
      </c>
      <c r="S118" s="7">
        <f t="shared" si="3"/>
        <v>0</v>
      </c>
      <c r="T118" s="7">
        <f t="shared" si="4"/>
        <v>10</v>
      </c>
    </row>
    <row r="119" spans="1:20" ht="230.4" x14ac:dyDescent="0.3">
      <c r="A119" s="1" t="s">
        <v>263</v>
      </c>
      <c r="B119" s="2" t="s">
        <v>264</v>
      </c>
      <c r="E119" s="2" t="s">
        <v>23</v>
      </c>
      <c r="F119" s="2">
        <v>3</v>
      </c>
      <c r="G119" s="12">
        <v>7429</v>
      </c>
      <c r="H119" s="12">
        <f t="shared" si="5"/>
        <v>22287</v>
      </c>
      <c r="S119" s="7">
        <f t="shared" si="3"/>
        <v>0</v>
      </c>
      <c r="T119" s="7">
        <f t="shared" si="4"/>
        <v>3</v>
      </c>
    </row>
    <row r="120" spans="1:20" ht="57.6" x14ac:dyDescent="0.3">
      <c r="A120" s="1" t="s">
        <v>265</v>
      </c>
      <c r="B120" s="2" t="s">
        <v>266</v>
      </c>
      <c r="E120" s="2" t="s">
        <v>23</v>
      </c>
      <c r="F120" s="2">
        <v>30</v>
      </c>
      <c r="G120" s="12">
        <v>5244</v>
      </c>
      <c r="H120" s="12">
        <f t="shared" si="5"/>
        <v>157320</v>
      </c>
      <c r="S120" s="7">
        <f t="shared" si="3"/>
        <v>0</v>
      </c>
      <c r="T120" s="7">
        <f t="shared" si="4"/>
        <v>30</v>
      </c>
    </row>
    <row r="121" spans="1:20" ht="86.4" x14ac:dyDescent="0.3">
      <c r="A121" s="1" t="s">
        <v>267</v>
      </c>
      <c r="B121" s="2" t="s">
        <v>268</v>
      </c>
      <c r="E121" s="2" t="s">
        <v>23</v>
      </c>
      <c r="F121" s="2">
        <v>1</v>
      </c>
      <c r="G121" s="12">
        <v>9286</v>
      </c>
      <c r="H121" s="12">
        <f t="shared" si="5"/>
        <v>9286</v>
      </c>
      <c r="S121" s="7">
        <f t="shared" si="3"/>
        <v>0</v>
      </c>
      <c r="T121" s="7">
        <f t="shared" si="4"/>
        <v>1</v>
      </c>
    </row>
    <row r="122" spans="1:20" ht="43.2" x14ac:dyDescent="0.3">
      <c r="A122" s="1" t="s">
        <v>269</v>
      </c>
      <c r="B122" s="2" t="s">
        <v>270</v>
      </c>
      <c r="E122" s="2" t="s">
        <v>271</v>
      </c>
      <c r="F122" s="2">
        <v>1</v>
      </c>
      <c r="G122" s="12">
        <v>8050</v>
      </c>
      <c r="H122" s="12">
        <f t="shared" si="5"/>
        <v>8050</v>
      </c>
      <c r="S122" s="7">
        <f t="shared" si="3"/>
        <v>0</v>
      </c>
      <c r="T122" s="7">
        <f t="shared" si="4"/>
        <v>1</v>
      </c>
    </row>
    <row r="123" spans="1:20" ht="28.8" x14ac:dyDescent="0.3">
      <c r="B123" s="2" t="s">
        <v>272</v>
      </c>
      <c r="H123" s="12">
        <f t="shared" si="5"/>
        <v>0</v>
      </c>
      <c r="S123" s="7">
        <f t="shared" si="3"/>
        <v>0</v>
      </c>
      <c r="T123" s="7">
        <f t="shared" si="4"/>
        <v>0</v>
      </c>
    </row>
    <row r="124" spans="1:20" ht="28.8" x14ac:dyDescent="0.3">
      <c r="B124" s="2" t="s">
        <v>273</v>
      </c>
      <c r="H124" s="12">
        <f t="shared" si="5"/>
        <v>0</v>
      </c>
      <c r="S124" s="7">
        <f t="shared" si="3"/>
        <v>0</v>
      </c>
      <c r="T124" s="7">
        <f t="shared" si="4"/>
        <v>0</v>
      </c>
    </row>
    <row r="125" spans="1:20" x14ac:dyDescent="0.3">
      <c r="H125" s="12">
        <f t="shared" si="5"/>
        <v>0</v>
      </c>
      <c r="S125" s="7">
        <f t="shared" si="3"/>
        <v>0</v>
      </c>
      <c r="T125" s="7">
        <f t="shared" si="4"/>
        <v>0</v>
      </c>
    </row>
    <row r="126" spans="1:20" x14ac:dyDescent="0.3">
      <c r="H126" s="12">
        <f t="shared" si="5"/>
        <v>0</v>
      </c>
      <c r="S126" s="7">
        <f t="shared" si="3"/>
        <v>0</v>
      </c>
      <c r="T126" s="7">
        <f t="shared" si="4"/>
        <v>0</v>
      </c>
    </row>
    <row r="127" spans="1:20" x14ac:dyDescent="0.3">
      <c r="H127" s="12">
        <f t="shared" si="5"/>
        <v>0</v>
      </c>
      <c r="S127" s="7">
        <f t="shared" si="3"/>
        <v>0</v>
      </c>
      <c r="T127" s="7">
        <f t="shared" si="4"/>
        <v>0</v>
      </c>
    </row>
    <row r="128" spans="1:20" x14ac:dyDescent="0.3">
      <c r="H128" s="12">
        <f t="shared" si="5"/>
        <v>0</v>
      </c>
      <c r="S128" s="7">
        <f t="shared" si="3"/>
        <v>0</v>
      </c>
      <c r="T128" s="7">
        <f t="shared" si="4"/>
        <v>0</v>
      </c>
    </row>
    <row r="129" spans="8:20" x14ac:dyDescent="0.3">
      <c r="H129" s="12">
        <f t="shared" si="5"/>
        <v>0</v>
      </c>
      <c r="S129" s="7">
        <f t="shared" si="3"/>
        <v>0</v>
      </c>
      <c r="T129" s="7">
        <f t="shared" si="4"/>
        <v>0</v>
      </c>
    </row>
    <row r="130" spans="8:20" x14ac:dyDescent="0.3">
      <c r="H130" s="12">
        <f t="shared" si="5"/>
        <v>0</v>
      </c>
      <c r="S130" s="7">
        <f t="shared" ref="S130:S193" si="6">SUM(I130:R130)</f>
        <v>0</v>
      </c>
      <c r="T130" s="7">
        <f t="shared" ref="T130:T193" si="7">F130-S130</f>
        <v>0</v>
      </c>
    </row>
    <row r="131" spans="8:20" x14ac:dyDescent="0.3">
      <c r="H131" s="12">
        <f t="shared" si="5"/>
        <v>0</v>
      </c>
      <c r="S131" s="7">
        <f t="shared" si="6"/>
        <v>0</v>
      </c>
      <c r="T131" s="7">
        <f t="shared" si="7"/>
        <v>0</v>
      </c>
    </row>
    <row r="132" spans="8:20" x14ac:dyDescent="0.3">
      <c r="H132" s="12">
        <f t="shared" ref="H132:H195" si="8">F132*G132</f>
        <v>0</v>
      </c>
      <c r="S132" s="7">
        <f t="shared" si="6"/>
        <v>0</v>
      </c>
      <c r="T132" s="7">
        <f t="shared" si="7"/>
        <v>0</v>
      </c>
    </row>
    <row r="133" spans="8:20" x14ac:dyDescent="0.3">
      <c r="H133" s="12">
        <f t="shared" si="8"/>
        <v>0</v>
      </c>
      <c r="S133" s="7">
        <f t="shared" si="6"/>
        <v>0</v>
      </c>
      <c r="T133" s="7">
        <f t="shared" si="7"/>
        <v>0</v>
      </c>
    </row>
    <row r="134" spans="8:20" x14ac:dyDescent="0.3">
      <c r="H134" s="12">
        <f t="shared" si="8"/>
        <v>0</v>
      </c>
      <c r="S134" s="7">
        <f t="shared" si="6"/>
        <v>0</v>
      </c>
      <c r="T134" s="7">
        <f t="shared" si="7"/>
        <v>0</v>
      </c>
    </row>
    <row r="135" spans="8:20" x14ac:dyDescent="0.3">
      <c r="H135" s="12">
        <f t="shared" si="8"/>
        <v>0</v>
      </c>
      <c r="S135" s="7">
        <f t="shared" si="6"/>
        <v>0</v>
      </c>
      <c r="T135" s="7">
        <f t="shared" si="7"/>
        <v>0</v>
      </c>
    </row>
    <row r="136" spans="8:20" x14ac:dyDescent="0.3">
      <c r="H136" s="12">
        <f t="shared" si="8"/>
        <v>0</v>
      </c>
      <c r="S136" s="7">
        <f t="shared" si="6"/>
        <v>0</v>
      </c>
      <c r="T136" s="7">
        <f t="shared" si="7"/>
        <v>0</v>
      </c>
    </row>
    <row r="137" spans="8:20" x14ac:dyDescent="0.3">
      <c r="H137" s="12">
        <f t="shared" si="8"/>
        <v>0</v>
      </c>
      <c r="S137" s="7">
        <f t="shared" si="6"/>
        <v>0</v>
      </c>
      <c r="T137" s="7">
        <f t="shared" si="7"/>
        <v>0</v>
      </c>
    </row>
    <row r="138" spans="8:20" x14ac:dyDescent="0.3">
      <c r="H138" s="12">
        <f t="shared" si="8"/>
        <v>0</v>
      </c>
      <c r="S138" s="7">
        <f t="shared" si="6"/>
        <v>0</v>
      </c>
      <c r="T138" s="7">
        <f t="shared" si="7"/>
        <v>0</v>
      </c>
    </row>
    <row r="139" spans="8:20" x14ac:dyDescent="0.3">
      <c r="H139" s="12">
        <f t="shared" si="8"/>
        <v>0</v>
      </c>
      <c r="S139" s="7">
        <f t="shared" si="6"/>
        <v>0</v>
      </c>
      <c r="T139" s="7">
        <f t="shared" si="7"/>
        <v>0</v>
      </c>
    </row>
    <row r="140" spans="8:20" x14ac:dyDescent="0.3">
      <c r="H140" s="12">
        <f t="shared" si="8"/>
        <v>0</v>
      </c>
      <c r="S140" s="7">
        <f t="shared" si="6"/>
        <v>0</v>
      </c>
      <c r="T140" s="7">
        <f t="shared" si="7"/>
        <v>0</v>
      </c>
    </row>
    <row r="141" spans="8:20" x14ac:dyDescent="0.3">
      <c r="H141" s="12">
        <f t="shared" si="8"/>
        <v>0</v>
      </c>
      <c r="S141" s="7">
        <f t="shared" si="6"/>
        <v>0</v>
      </c>
      <c r="T141" s="7">
        <f t="shared" si="7"/>
        <v>0</v>
      </c>
    </row>
    <row r="142" spans="8:20" x14ac:dyDescent="0.3">
      <c r="H142" s="12">
        <f t="shared" si="8"/>
        <v>0</v>
      </c>
      <c r="S142" s="7">
        <f t="shared" si="6"/>
        <v>0</v>
      </c>
      <c r="T142" s="7">
        <f t="shared" si="7"/>
        <v>0</v>
      </c>
    </row>
    <row r="143" spans="8:20" x14ac:dyDescent="0.3">
      <c r="H143" s="12">
        <f t="shared" si="8"/>
        <v>0</v>
      </c>
      <c r="S143" s="7">
        <f t="shared" si="6"/>
        <v>0</v>
      </c>
      <c r="T143" s="7">
        <f t="shared" si="7"/>
        <v>0</v>
      </c>
    </row>
    <row r="144" spans="8:20" x14ac:dyDescent="0.3">
      <c r="H144" s="12">
        <f t="shared" si="8"/>
        <v>0</v>
      </c>
      <c r="S144" s="7">
        <f t="shared" si="6"/>
        <v>0</v>
      </c>
      <c r="T144" s="7">
        <f t="shared" si="7"/>
        <v>0</v>
      </c>
    </row>
    <row r="145" spans="8:20" x14ac:dyDescent="0.3">
      <c r="H145" s="12">
        <f t="shared" si="8"/>
        <v>0</v>
      </c>
      <c r="S145" s="7">
        <f t="shared" si="6"/>
        <v>0</v>
      </c>
      <c r="T145" s="7">
        <f t="shared" si="7"/>
        <v>0</v>
      </c>
    </row>
    <row r="146" spans="8:20" x14ac:dyDescent="0.3">
      <c r="H146" s="12">
        <f t="shared" si="8"/>
        <v>0</v>
      </c>
      <c r="S146" s="7">
        <f t="shared" si="6"/>
        <v>0</v>
      </c>
      <c r="T146" s="7">
        <f t="shared" si="7"/>
        <v>0</v>
      </c>
    </row>
    <row r="147" spans="8:20" x14ac:dyDescent="0.3">
      <c r="H147" s="12">
        <f t="shared" si="8"/>
        <v>0</v>
      </c>
      <c r="S147" s="7">
        <f t="shared" si="6"/>
        <v>0</v>
      </c>
      <c r="T147" s="7">
        <f t="shared" si="7"/>
        <v>0</v>
      </c>
    </row>
    <row r="148" spans="8:20" x14ac:dyDescent="0.3">
      <c r="H148" s="12">
        <f t="shared" si="8"/>
        <v>0</v>
      </c>
      <c r="S148" s="7">
        <f t="shared" si="6"/>
        <v>0</v>
      </c>
      <c r="T148" s="7">
        <f t="shared" si="7"/>
        <v>0</v>
      </c>
    </row>
    <row r="149" spans="8:20" x14ac:dyDescent="0.3">
      <c r="H149" s="12">
        <f t="shared" si="8"/>
        <v>0</v>
      </c>
      <c r="S149" s="7">
        <f t="shared" si="6"/>
        <v>0</v>
      </c>
      <c r="T149" s="7">
        <f t="shared" si="7"/>
        <v>0</v>
      </c>
    </row>
    <row r="150" spans="8:20" x14ac:dyDescent="0.3">
      <c r="H150" s="12">
        <f t="shared" si="8"/>
        <v>0</v>
      </c>
      <c r="S150" s="7">
        <f t="shared" si="6"/>
        <v>0</v>
      </c>
      <c r="T150" s="7">
        <f t="shared" si="7"/>
        <v>0</v>
      </c>
    </row>
    <row r="151" spans="8:20" x14ac:dyDescent="0.3">
      <c r="H151" s="12">
        <f t="shared" si="8"/>
        <v>0</v>
      </c>
      <c r="S151" s="7">
        <f t="shared" si="6"/>
        <v>0</v>
      </c>
      <c r="T151" s="7">
        <f t="shared" si="7"/>
        <v>0</v>
      </c>
    </row>
    <row r="152" spans="8:20" x14ac:dyDescent="0.3">
      <c r="H152" s="12">
        <f t="shared" si="8"/>
        <v>0</v>
      </c>
      <c r="S152" s="7">
        <f t="shared" si="6"/>
        <v>0</v>
      </c>
      <c r="T152" s="7">
        <f t="shared" si="7"/>
        <v>0</v>
      </c>
    </row>
    <row r="153" spans="8:20" x14ac:dyDescent="0.3">
      <c r="H153" s="12">
        <f t="shared" si="8"/>
        <v>0</v>
      </c>
      <c r="S153" s="7">
        <f t="shared" si="6"/>
        <v>0</v>
      </c>
      <c r="T153" s="7">
        <f t="shared" si="7"/>
        <v>0</v>
      </c>
    </row>
    <row r="154" spans="8:20" x14ac:dyDescent="0.3">
      <c r="H154" s="12">
        <f t="shared" si="8"/>
        <v>0</v>
      </c>
      <c r="S154" s="7">
        <f t="shared" si="6"/>
        <v>0</v>
      </c>
      <c r="T154" s="7">
        <f t="shared" si="7"/>
        <v>0</v>
      </c>
    </row>
    <row r="155" spans="8:20" x14ac:dyDescent="0.3">
      <c r="H155" s="12">
        <f t="shared" si="8"/>
        <v>0</v>
      </c>
      <c r="S155" s="7">
        <f t="shared" si="6"/>
        <v>0</v>
      </c>
      <c r="T155" s="7">
        <f t="shared" si="7"/>
        <v>0</v>
      </c>
    </row>
    <row r="156" spans="8:20" x14ac:dyDescent="0.3">
      <c r="H156" s="12">
        <f t="shared" si="8"/>
        <v>0</v>
      </c>
      <c r="S156" s="7">
        <f t="shared" si="6"/>
        <v>0</v>
      </c>
      <c r="T156" s="7">
        <f t="shared" si="7"/>
        <v>0</v>
      </c>
    </row>
    <row r="157" spans="8:20" x14ac:dyDescent="0.3">
      <c r="H157" s="12">
        <f t="shared" si="8"/>
        <v>0</v>
      </c>
      <c r="S157" s="7">
        <f t="shared" si="6"/>
        <v>0</v>
      </c>
      <c r="T157" s="7">
        <f t="shared" si="7"/>
        <v>0</v>
      </c>
    </row>
    <row r="158" spans="8:20" x14ac:dyDescent="0.3">
      <c r="H158" s="12">
        <f t="shared" si="8"/>
        <v>0</v>
      </c>
      <c r="S158" s="7">
        <f t="shared" si="6"/>
        <v>0</v>
      </c>
      <c r="T158" s="7">
        <f t="shared" si="7"/>
        <v>0</v>
      </c>
    </row>
    <row r="159" spans="8:20" x14ac:dyDescent="0.3">
      <c r="H159" s="12">
        <f t="shared" si="8"/>
        <v>0</v>
      </c>
      <c r="S159" s="7">
        <f t="shared" si="6"/>
        <v>0</v>
      </c>
      <c r="T159" s="7">
        <f t="shared" si="7"/>
        <v>0</v>
      </c>
    </row>
    <row r="160" spans="8:20" x14ac:dyDescent="0.3">
      <c r="H160" s="12">
        <f t="shared" si="8"/>
        <v>0</v>
      </c>
      <c r="S160" s="7">
        <f t="shared" si="6"/>
        <v>0</v>
      </c>
      <c r="T160" s="7">
        <f t="shared" si="7"/>
        <v>0</v>
      </c>
    </row>
    <row r="161" spans="8:20" x14ac:dyDescent="0.3">
      <c r="H161" s="12">
        <f t="shared" si="8"/>
        <v>0</v>
      </c>
      <c r="S161" s="7">
        <f t="shared" si="6"/>
        <v>0</v>
      </c>
      <c r="T161" s="7">
        <f t="shared" si="7"/>
        <v>0</v>
      </c>
    </row>
    <row r="162" spans="8:20" x14ac:dyDescent="0.3">
      <c r="H162" s="12">
        <f t="shared" si="8"/>
        <v>0</v>
      </c>
      <c r="S162" s="7">
        <f t="shared" si="6"/>
        <v>0</v>
      </c>
      <c r="T162" s="7">
        <f t="shared" si="7"/>
        <v>0</v>
      </c>
    </row>
    <row r="163" spans="8:20" x14ac:dyDescent="0.3">
      <c r="H163" s="12">
        <f t="shared" si="8"/>
        <v>0</v>
      </c>
      <c r="S163" s="7">
        <f t="shared" si="6"/>
        <v>0</v>
      </c>
      <c r="T163" s="7">
        <f t="shared" si="7"/>
        <v>0</v>
      </c>
    </row>
    <row r="164" spans="8:20" x14ac:dyDescent="0.3">
      <c r="H164" s="12">
        <f t="shared" si="8"/>
        <v>0</v>
      </c>
      <c r="S164" s="7">
        <f t="shared" si="6"/>
        <v>0</v>
      </c>
      <c r="T164" s="7">
        <f t="shared" si="7"/>
        <v>0</v>
      </c>
    </row>
    <row r="165" spans="8:20" x14ac:dyDescent="0.3">
      <c r="H165" s="12">
        <f t="shared" si="8"/>
        <v>0</v>
      </c>
      <c r="S165" s="7">
        <f t="shared" si="6"/>
        <v>0</v>
      </c>
      <c r="T165" s="7">
        <f t="shared" si="7"/>
        <v>0</v>
      </c>
    </row>
    <row r="166" spans="8:20" x14ac:dyDescent="0.3">
      <c r="H166" s="12">
        <f t="shared" si="8"/>
        <v>0</v>
      </c>
      <c r="S166" s="7">
        <f t="shared" si="6"/>
        <v>0</v>
      </c>
      <c r="T166" s="7">
        <f t="shared" si="7"/>
        <v>0</v>
      </c>
    </row>
    <row r="167" spans="8:20" x14ac:dyDescent="0.3">
      <c r="H167" s="12">
        <f t="shared" si="8"/>
        <v>0</v>
      </c>
      <c r="S167" s="7">
        <f t="shared" si="6"/>
        <v>0</v>
      </c>
      <c r="T167" s="7">
        <f t="shared" si="7"/>
        <v>0</v>
      </c>
    </row>
    <row r="168" spans="8:20" x14ac:dyDescent="0.3">
      <c r="H168" s="12">
        <f t="shared" si="8"/>
        <v>0</v>
      </c>
      <c r="S168" s="7">
        <f t="shared" si="6"/>
        <v>0</v>
      </c>
      <c r="T168" s="7">
        <f t="shared" si="7"/>
        <v>0</v>
      </c>
    </row>
    <row r="169" spans="8:20" x14ac:dyDescent="0.3">
      <c r="H169" s="12">
        <f t="shared" si="8"/>
        <v>0</v>
      </c>
      <c r="S169" s="7">
        <f t="shared" si="6"/>
        <v>0</v>
      </c>
      <c r="T169" s="7">
        <f t="shared" si="7"/>
        <v>0</v>
      </c>
    </row>
    <row r="170" spans="8:20" x14ac:dyDescent="0.3">
      <c r="H170" s="12">
        <f t="shared" si="8"/>
        <v>0</v>
      </c>
      <c r="S170" s="7">
        <f t="shared" si="6"/>
        <v>0</v>
      </c>
      <c r="T170" s="7">
        <f t="shared" si="7"/>
        <v>0</v>
      </c>
    </row>
    <row r="171" spans="8:20" x14ac:dyDescent="0.3">
      <c r="H171" s="12">
        <f t="shared" si="8"/>
        <v>0</v>
      </c>
      <c r="S171" s="7">
        <f t="shared" si="6"/>
        <v>0</v>
      </c>
      <c r="T171" s="7">
        <f t="shared" si="7"/>
        <v>0</v>
      </c>
    </row>
    <row r="172" spans="8:20" x14ac:dyDescent="0.3">
      <c r="H172" s="12">
        <f t="shared" si="8"/>
        <v>0</v>
      </c>
      <c r="S172" s="7">
        <f t="shared" si="6"/>
        <v>0</v>
      </c>
      <c r="T172" s="7">
        <f t="shared" si="7"/>
        <v>0</v>
      </c>
    </row>
    <row r="173" spans="8:20" x14ac:dyDescent="0.3">
      <c r="H173" s="12">
        <f t="shared" si="8"/>
        <v>0</v>
      </c>
      <c r="S173" s="7">
        <f t="shared" si="6"/>
        <v>0</v>
      </c>
      <c r="T173" s="7">
        <f t="shared" si="7"/>
        <v>0</v>
      </c>
    </row>
    <row r="174" spans="8:20" x14ac:dyDescent="0.3">
      <c r="H174" s="12">
        <f t="shared" si="8"/>
        <v>0</v>
      </c>
      <c r="S174" s="7">
        <f t="shared" si="6"/>
        <v>0</v>
      </c>
      <c r="T174" s="7">
        <f t="shared" si="7"/>
        <v>0</v>
      </c>
    </row>
    <row r="175" spans="8:20" x14ac:dyDescent="0.3">
      <c r="H175" s="12">
        <f t="shared" si="8"/>
        <v>0</v>
      </c>
      <c r="S175" s="7">
        <f t="shared" si="6"/>
        <v>0</v>
      </c>
      <c r="T175" s="7">
        <f t="shared" si="7"/>
        <v>0</v>
      </c>
    </row>
    <row r="176" spans="8:20" x14ac:dyDescent="0.3">
      <c r="H176" s="12">
        <f t="shared" si="8"/>
        <v>0</v>
      </c>
      <c r="S176" s="7">
        <f t="shared" si="6"/>
        <v>0</v>
      </c>
      <c r="T176" s="7">
        <f t="shared" si="7"/>
        <v>0</v>
      </c>
    </row>
    <row r="177" spans="8:20" x14ac:dyDescent="0.3">
      <c r="H177" s="12">
        <f t="shared" si="8"/>
        <v>0</v>
      </c>
      <c r="S177" s="7">
        <f t="shared" si="6"/>
        <v>0</v>
      </c>
      <c r="T177" s="7">
        <f t="shared" si="7"/>
        <v>0</v>
      </c>
    </row>
    <row r="178" spans="8:20" x14ac:dyDescent="0.3">
      <c r="H178" s="12">
        <f t="shared" si="8"/>
        <v>0</v>
      </c>
      <c r="S178" s="7">
        <f t="shared" si="6"/>
        <v>0</v>
      </c>
      <c r="T178" s="7">
        <f t="shared" si="7"/>
        <v>0</v>
      </c>
    </row>
    <row r="179" spans="8:20" x14ac:dyDescent="0.3">
      <c r="H179" s="12">
        <f t="shared" si="8"/>
        <v>0</v>
      </c>
      <c r="S179" s="7">
        <f t="shared" si="6"/>
        <v>0</v>
      </c>
      <c r="T179" s="7">
        <f t="shared" si="7"/>
        <v>0</v>
      </c>
    </row>
    <row r="180" spans="8:20" x14ac:dyDescent="0.3">
      <c r="H180" s="12">
        <f t="shared" si="8"/>
        <v>0</v>
      </c>
      <c r="S180" s="7">
        <f t="shared" si="6"/>
        <v>0</v>
      </c>
      <c r="T180" s="7">
        <f t="shared" si="7"/>
        <v>0</v>
      </c>
    </row>
    <row r="181" spans="8:20" x14ac:dyDescent="0.3">
      <c r="H181" s="12">
        <f t="shared" si="8"/>
        <v>0</v>
      </c>
      <c r="S181" s="7">
        <f t="shared" si="6"/>
        <v>0</v>
      </c>
      <c r="T181" s="7">
        <f t="shared" si="7"/>
        <v>0</v>
      </c>
    </row>
    <row r="182" spans="8:20" x14ac:dyDescent="0.3">
      <c r="H182" s="12">
        <f t="shared" si="8"/>
        <v>0</v>
      </c>
      <c r="S182" s="7">
        <f t="shared" si="6"/>
        <v>0</v>
      </c>
      <c r="T182" s="7">
        <f t="shared" si="7"/>
        <v>0</v>
      </c>
    </row>
    <row r="183" spans="8:20" x14ac:dyDescent="0.3">
      <c r="H183" s="12">
        <f t="shared" si="8"/>
        <v>0</v>
      </c>
      <c r="S183" s="7">
        <f t="shared" si="6"/>
        <v>0</v>
      </c>
      <c r="T183" s="7">
        <f t="shared" si="7"/>
        <v>0</v>
      </c>
    </row>
    <row r="184" spans="8:20" x14ac:dyDescent="0.3">
      <c r="H184" s="12">
        <f t="shared" si="8"/>
        <v>0</v>
      </c>
      <c r="S184" s="7">
        <f t="shared" si="6"/>
        <v>0</v>
      </c>
      <c r="T184" s="7">
        <f t="shared" si="7"/>
        <v>0</v>
      </c>
    </row>
    <row r="185" spans="8:20" x14ac:dyDescent="0.3">
      <c r="H185" s="12">
        <f t="shared" si="8"/>
        <v>0</v>
      </c>
      <c r="S185" s="7">
        <f t="shared" si="6"/>
        <v>0</v>
      </c>
      <c r="T185" s="7">
        <f t="shared" si="7"/>
        <v>0</v>
      </c>
    </row>
    <row r="186" spans="8:20" x14ac:dyDescent="0.3">
      <c r="H186" s="12">
        <f t="shared" si="8"/>
        <v>0</v>
      </c>
      <c r="S186" s="7">
        <f t="shared" si="6"/>
        <v>0</v>
      </c>
      <c r="T186" s="7">
        <f t="shared" si="7"/>
        <v>0</v>
      </c>
    </row>
    <row r="187" spans="8:20" x14ac:dyDescent="0.3">
      <c r="H187" s="12">
        <f t="shared" si="8"/>
        <v>0</v>
      </c>
      <c r="S187" s="7">
        <f t="shared" si="6"/>
        <v>0</v>
      </c>
      <c r="T187" s="7">
        <f t="shared" si="7"/>
        <v>0</v>
      </c>
    </row>
    <row r="188" spans="8:20" x14ac:dyDescent="0.3">
      <c r="H188" s="12">
        <f t="shared" si="8"/>
        <v>0</v>
      </c>
      <c r="S188" s="7">
        <f t="shared" si="6"/>
        <v>0</v>
      </c>
      <c r="T188" s="7">
        <f t="shared" si="7"/>
        <v>0</v>
      </c>
    </row>
    <row r="189" spans="8:20" x14ac:dyDescent="0.3">
      <c r="H189" s="12">
        <f t="shared" si="8"/>
        <v>0</v>
      </c>
      <c r="S189" s="7">
        <f t="shared" si="6"/>
        <v>0</v>
      </c>
      <c r="T189" s="7">
        <f t="shared" si="7"/>
        <v>0</v>
      </c>
    </row>
    <row r="190" spans="8:20" x14ac:dyDescent="0.3">
      <c r="H190" s="12">
        <f t="shared" si="8"/>
        <v>0</v>
      </c>
      <c r="S190" s="7">
        <f t="shared" si="6"/>
        <v>0</v>
      </c>
      <c r="T190" s="7">
        <f t="shared" si="7"/>
        <v>0</v>
      </c>
    </row>
    <row r="191" spans="8:20" x14ac:dyDescent="0.3">
      <c r="H191" s="12">
        <f t="shared" si="8"/>
        <v>0</v>
      </c>
      <c r="S191" s="7">
        <f t="shared" si="6"/>
        <v>0</v>
      </c>
      <c r="T191" s="7">
        <f t="shared" si="7"/>
        <v>0</v>
      </c>
    </row>
    <row r="192" spans="8:20" x14ac:dyDescent="0.3">
      <c r="H192" s="12">
        <f t="shared" si="8"/>
        <v>0</v>
      </c>
      <c r="S192" s="7">
        <f t="shared" si="6"/>
        <v>0</v>
      </c>
      <c r="T192" s="7">
        <f t="shared" si="7"/>
        <v>0</v>
      </c>
    </row>
    <row r="193" spans="8:20" x14ac:dyDescent="0.3">
      <c r="H193" s="12">
        <f t="shared" si="8"/>
        <v>0</v>
      </c>
      <c r="S193" s="7">
        <f t="shared" si="6"/>
        <v>0</v>
      </c>
      <c r="T193" s="7">
        <f t="shared" si="7"/>
        <v>0</v>
      </c>
    </row>
    <row r="194" spans="8:20" x14ac:dyDescent="0.3">
      <c r="H194" s="12">
        <f t="shared" si="8"/>
        <v>0</v>
      </c>
      <c r="S194" s="7">
        <f t="shared" ref="S194:S257" si="9">SUM(I194:R194)</f>
        <v>0</v>
      </c>
      <c r="T194" s="7">
        <f t="shared" ref="T194:T257" si="10">F194-S194</f>
        <v>0</v>
      </c>
    </row>
    <row r="195" spans="8:20" x14ac:dyDescent="0.3">
      <c r="H195" s="12">
        <f t="shared" si="8"/>
        <v>0</v>
      </c>
      <c r="S195" s="7">
        <f t="shared" si="9"/>
        <v>0</v>
      </c>
      <c r="T195" s="7">
        <f t="shared" si="10"/>
        <v>0</v>
      </c>
    </row>
    <row r="196" spans="8:20" x14ac:dyDescent="0.3">
      <c r="H196" s="12">
        <f t="shared" ref="H196:H259" si="11">F196*G196</f>
        <v>0</v>
      </c>
      <c r="S196" s="7">
        <f t="shared" si="9"/>
        <v>0</v>
      </c>
      <c r="T196" s="7">
        <f t="shared" si="10"/>
        <v>0</v>
      </c>
    </row>
    <row r="197" spans="8:20" x14ac:dyDescent="0.3">
      <c r="H197" s="12">
        <f t="shared" si="11"/>
        <v>0</v>
      </c>
      <c r="S197" s="7">
        <f t="shared" si="9"/>
        <v>0</v>
      </c>
      <c r="T197" s="7">
        <f t="shared" si="10"/>
        <v>0</v>
      </c>
    </row>
    <row r="198" spans="8:20" x14ac:dyDescent="0.3">
      <c r="H198" s="12">
        <f t="shared" si="11"/>
        <v>0</v>
      </c>
      <c r="S198" s="7">
        <f t="shared" si="9"/>
        <v>0</v>
      </c>
      <c r="T198" s="7">
        <f t="shared" si="10"/>
        <v>0</v>
      </c>
    </row>
    <row r="199" spans="8:20" x14ac:dyDescent="0.3">
      <c r="H199" s="12">
        <f t="shared" si="11"/>
        <v>0</v>
      </c>
      <c r="S199" s="7">
        <f t="shared" si="9"/>
        <v>0</v>
      </c>
      <c r="T199" s="7">
        <f t="shared" si="10"/>
        <v>0</v>
      </c>
    </row>
    <row r="200" spans="8:20" x14ac:dyDescent="0.3">
      <c r="H200" s="12">
        <f t="shared" si="11"/>
        <v>0</v>
      </c>
      <c r="S200" s="7">
        <f t="shared" si="9"/>
        <v>0</v>
      </c>
      <c r="T200" s="7">
        <f t="shared" si="10"/>
        <v>0</v>
      </c>
    </row>
    <row r="201" spans="8:20" x14ac:dyDescent="0.3">
      <c r="H201" s="12">
        <f t="shared" si="11"/>
        <v>0</v>
      </c>
      <c r="S201" s="7">
        <f t="shared" si="9"/>
        <v>0</v>
      </c>
      <c r="T201" s="7">
        <f t="shared" si="10"/>
        <v>0</v>
      </c>
    </row>
    <row r="202" spans="8:20" x14ac:dyDescent="0.3">
      <c r="H202" s="12">
        <f t="shared" si="11"/>
        <v>0</v>
      </c>
      <c r="S202" s="7">
        <f t="shared" si="9"/>
        <v>0</v>
      </c>
      <c r="T202" s="7">
        <f t="shared" si="10"/>
        <v>0</v>
      </c>
    </row>
    <row r="203" spans="8:20" x14ac:dyDescent="0.3">
      <c r="H203" s="12">
        <f t="shared" si="11"/>
        <v>0</v>
      </c>
      <c r="S203" s="7">
        <f t="shared" si="9"/>
        <v>0</v>
      </c>
      <c r="T203" s="7">
        <f t="shared" si="10"/>
        <v>0</v>
      </c>
    </row>
    <row r="204" spans="8:20" x14ac:dyDescent="0.3">
      <c r="H204" s="12">
        <f t="shared" si="11"/>
        <v>0</v>
      </c>
      <c r="S204" s="7">
        <f t="shared" si="9"/>
        <v>0</v>
      </c>
      <c r="T204" s="7">
        <f t="shared" si="10"/>
        <v>0</v>
      </c>
    </row>
    <row r="205" spans="8:20" x14ac:dyDescent="0.3">
      <c r="H205" s="12">
        <f t="shared" si="11"/>
        <v>0</v>
      </c>
      <c r="S205" s="7">
        <f t="shared" si="9"/>
        <v>0</v>
      </c>
      <c r="T205" s="7">
        <f t="shared" si="10"/>
        <v>0</v>
      </c>
    </row>
    <row r="206" spans="8:20" x14ac:dyDescent="0.3">
      <c r="H206" s="12">
        <f t="shared" si="11"/>
        <v>0</v>
      </c>
      <c r="S206" s="7">
        <f t="shared" si="9"/>
        <v>0</v>
      </c>
      <c r="T206" s="7">
        <f t="shared" si="10"/>
        <v>0</v>
      </c>
    </row>
    <row r="207" spans="8:20" x14ac:dyDescent="0.3">
      <c r="H207" s="12">
        <f t="shared" si="11"/>
        <v>0</v>
      </c>
      <c r="S207" s="7">
        <f t="shared" si="9"/>
        <v>0</v>
      </c>
      <c r="T207" s="7">
        <f t="shared" si="10"/>
        <v>0</v>
      </c>
    </row>
    <row r="208" spans="8:20" x14ac:dyDescent="0.3">
      <c r="H208" s="12">
        <f t="shared" si="11"/>
        <v>0</v>
      </c>
      <c r="S208" s="7">
        <f t="shared" si="9"/>
        <v>0</v>
      </c>
      <c r="T208" s="7">
        <f t="shared" si="10"/>
        <v>0</v>
      </c>
    </row>
    <row r="209" spans="8:20" x14ac:dyDescent="0.3">
      <c r="H209" s="12">
        <f t="shared" si="11"/>
        <v>0</v>
      </c>
      <c r="S209" s="7">
        <f t="shared" si="9"/>
        <v>0</v>
      </c>
      <c r="T209" s="7">
        <f t="shared" si="10"/>
        <v>0</v>
      </c>
    </row>
    <row r="210" spans="8:20" x14ac:dyDescent="0.3">
      <c r="H210" s="12">
        <f t="shared" si="11"/>
        <v>0</v>
      </c>
      <c r="S210" s="7">
        <f t="shared" si="9"/>
        <v>0</v>
      </c>
      <c r="T210" s="7">
        <f t="shared" si="10"/>
        <v>0</v>
      </c>
    </row>
    <row r="211" spans="8:20" x14ac:dyDescent="0.3">
      <c r="H211" s="12">
        <f t="shared" si="11"/>
        <v>0</v>
      </c>
      <c r="S211" s="7">
        <f t="shared" si="9"/>
        <v>0</v>
      </c>
      <c r="T211" s="7">
        <f t="shared" si="10"/>
        <v>0</v>
      </c>
    </row>
    <row r="212" spans="8:20" x14ac:dyDescent="0.3">
      <c r="H212" s="12">
        <f t="shared" si="11"/>
        <v>0</v>
      </c>
      <c r="S212" s="7">
        <f t="shared" si="9"/>
        <v>0</v>
      </c>
      <c r="T212" s="7">
        <f t="shared" si="10"/>
        <v>0</v>
      </c>
    </row>
    <row r="213" spans="8:20" x14ac:dyDescent="0.3">
      <c r="H213" s="12">
        <f t="shared" si="11"/>
        <v>0</v>
      </c>
      <c r="S213" s="7">
        <f t="shared" si="9"/>
        <v>0</v>
      </c>
      <c r="T213" s="7">
        <f t="shared" si="10"/>
        <v>0</v>
      </c>
    </row>
    <row r="214" spans="8:20" x14ac:dyDescent="0.3">
      <c r="H214" s="12">
        <f t="shared" si="11"/>
        <v>0</v>
      </c>
      <c r="S214" s="7">
        <f t="shared" si="9"/>
        <v>0</v>
      </c>
      <c r="T214" s="7">
        <f t="shared" si="10"/>
        <v>0</v>
      </c>
    </row>
    <row r="215" spans="8:20" x14ac:dyDescent="0.3">
      <c r="H215" s="12">
        <f t="shared" si="11"/>
        <v>0</v>
      </c>
      <c r="S215" s="7">
        <f t="shared" si="9"/>
        <v>0</v>
      </c>
      <c r="T215" s="7">
        <f t="shared" si="10"/>
        <v>0</v>
      </c>
    </row>
    <row r="216" spans="8:20" x14ac:dyDescent="0.3">
      <c r="H216" s="12">
        <f t="shared" si="11"/>
        <v>0</v>
      </c>
      <c r="S216" s="7">
        <f t="shared" si="9"/>
        <v>0</v>
      </c>
      <c r="T216" s="7">
        <f t="shared" si="10"/>
        <v>0</v>
      </c>
    </row>
    <row r="217" spans="8:20" x14ac:dyDescent="0.3">
      <c r="H217" s="12">
        <f t="shared" si="11"/>
        <v>0</v>
      </c>
      <c r="S217" s="7">
        <f t="shared" si="9"/>
        <v>0</v>
      </c>
      <c r="T217" s="7">
        <f t="shared" si="10"/>
        <v>0</v>
      </c>
    </row>
    <row r="218" spans="8:20" x14ac:dyDescent="0.3">
      <c r="H218" s="12">
        <f t="shared" si="11"/>
        <v>0</v>
      </c>
      <c r="S218" s="7">
        <f t="shared" si="9"/>
        <v>0</v>
      </c>
      <c r="T218" s="7">
        <f t="shared" si="10"/>
        <v>0</v>
      </c>
    </row>
    <row r="219" spans="8:20" x14ac:dyDescent="0.3">
      <c r="H219" s="12">
        <f t="shared" si="11"/>
        <v>0</v>
      </c>
      <c r="S219" s="7">
        <f t="shared" si="9"/>
        <v>0</v>
      </c>
      <c r="T219" s="7">
        <f t="shared" si="10"/>
        <v>0</v>
      </c>
    </row>
    <row r="220" spans="8:20" x14ac:dyDescent="0.3">
      <c r="H220" s="12">
        <f t="shared" si="11"/>
        <v>0</v>
      </c>
      <c r="S220" s="7">
        <f t="shared" si="9"/>
        <v>0</v>
      </c>
      <c r="T220" s="7">
        <f t="shared" si="10"/>
        <v>0</v>
      </c>
    </row>
    <row r="221" spans="8:20" x14ac:dyDescent="0.3">
      <c r="H221" s="12">
        <f t="shared" si="11"/>
        <v>0</v>
      </c>
      <c r="S221" s="7">
        <f t="shared" si="9"/>
        <v>0</v>
      </c>
      <c r="T221" s="7">
        <f t="shared" si="10"/>
        <v>0</v>
      </c>
    </row>
    <row r="222" spans="8:20" x14ac:dyDescent="0.3">
      <c r="H222" s="12">
        <f t="shared" si="11"/>
        <v>0</v>
      </c>
      <c r="S222" s="7">
        <f t="shared" si="9"/>
        <v>0</v>
      </c>
      <c r="T222" s="7">
        <f t="shared" si="10"/>
        <v>0</v>
      </c>
    </row>
    <row r="223" spans="8:20" x14ac:dyDescent="0.3">
      <c r="H223" s="12">
        <f t="shared" si="11"/>
        <v>0</v>
      </c>
      <c r="S223" s="7">
        <f t="shared" si="9"/>
        <v>0</v>
      </c>
      <c r="T223" s="7">
        <f t="shared" si="10"/>
        <v>0</v>
      </c>
    </row>
    <row r="224" spans="8:20" x14ac:dyDescent="0.3">
      <c r="H224" s="12">
        <f t="shared" si="11"/>
        <v>0</v>
      </c>
      <c r="S224" s="7">
        <f t="shared" si="9"/>
        <v>0</v>
      </c>
      <c r="T224" s="7">
        <f t="shared" si="10"/>
        <v>0</v>
      </c>
    </row>
    <row r="225" spans="8:20" x14ac:dyDescent="0.3">
      <c r="H225" s="12">
        <f t="shared" si="11"/>
        <v>0</v>
      </c>
      <c r="S225" s="7">
        <f t="shared" si="9"/>
        <v>0</v>
      </c>
      <c r="T225" s="7">
        <f t="shared" si="10"/>
        <v>0</v>
      </c>
    </row>
    <row r="226" spans="8:20" x14ac:dyDescent="0.3">
      <c r="H226" s="12">
        <f t="shared" si="11"/>
        <v>0</v>
      </c>
      <c r="S226" s="7">
        <f t="shared" si="9"/>
        <v>0</v>
      </c>
      <c r="T226" s="7">
        <f t="shared" si="10"/>
        <v>0</v>
      </c>
    </row>
    <row r="227" spans="8:20" x14ac:dyDescent="0.3">
      <c r="H227" s="12">
        <f t="shared" si="11"/>
        <v>0</v>
      </c>
      <c r="S227" s="7">
        <f t="shared" si="9"/>
        <v>0</v>
      </c>
      <c r="T227" s="7">
        <f t="shared" si="10"/>
        <v>0</v>
      </c>
    </row>
    <row r="228" spans="8:20" x14ac:dyDescent="0.3">
      <c r="H228" s="12">
        <f t="shared" si="11"/>
        <v>0</v>
      </c>
      <c r="S228" s="7">
        <f t="shared" si="9"/>
        <v>0</v>
      </c>
      <c r="T228" s="7">
        <f t="shared" si="10"/>
        <v>0</v>
      </c>
    </row>
    <row r="229" spans="8:20" x14ac:dyDescent="0.3">
      <c r="H229" s="12">
        <f t="shared" si="11"/>
        <v>0</v>
      </c>
      <c r="S229" s="7">
        <f t="shared" si="9"/>
        <v>0</v>
      </c>
      <c r="T229" s="7">
        <f t="shared" si="10"/>
        <v>0</v>
      </c>
    </row>
    <row r="230" spans="8:20" x14ac:dyDescent="0.3">
      <c r="H230" s="12">
        <f t="shared" si="11"/>
        <v>0</v>
      </c>
      <c r="S230" s="7">
        <f t="shared" si="9"/>
        <v>0</v>
      </c>
      <c r="T230" s="7">
        <f t="shared" si="10"/>
        <v>0</v>
      </c>
    </row>
    <row r="231" spans="8:20" x14ac:dyDescent="0.3">
      <c r="H231" s="12">
        <f t="shared" si="11"/>
        <v>0</v>
      </c>
      <c r="S231" s="7">
        <f t="shared" si="9"/>
        <v>0</v>
      </c>
      <c r="T231" s="7">
        <f t="shared" si="10"/>
        <v>0</v>
      </c>
    </row>
    <row r="232" spans="8:20" x14ac:dyDescent="0.3">
      <c r="H232" s="12">
        <f t="shared" si="11"/>
        <v>0</v>
      </c>
      <c r="S232" s="7">
        <f t="shared" si="9"/>
        <v>0</v>
      </c>
      <c r="T232" s="7">
        <f t="shared" si="10"/>
        <v>0</v>
      </c>
    </row>
    <row r="233" spans="8:20" x14ac:dyDescent="0.3">
      <c r="H233" s="12">
        <f t="shared" si="11"/>
        <v>0</v>
      </c>
      <c r="S233" s="7">
        <f t="shared" si="9"/>
        <v>0</v>
      </c>
      <c r="T233" s="7">
        <f t="shared" si="10"/>
        <v>0</v>
      </c>
    </row>
    <row r="234" spans="8:20" x14ac:dyDescent="0.3">
      <c r="H234" s="12">
        <f t="shared" si="11"/>
        <v>0</v>
      </c>
      <c r="S234" s="7">
        <f t="shared" si="9"/>
        <v>0</v>
      </c>
      <c r="T234" s="7">
        <f t="shared" si="10"/>
        <v>0</v>
      </c>
    </row>
    <row r="235" spans="8:20" x14ac:dyDescent="0.3">
      <c r="H235" s="12">
        <f t="shared" si="11"/>
        <v>0</v>
      </c>
      <c r="S235" s="7">
        <f t="shared" si="9"/>
        <v>0</v>
      </c>
      <c r="T235" s="7">
        <f t="shared" si="10"/>
        <v>0</v>
      </c>
    </row>
    <row r="236" spans="8:20" x14ac:dyDescent="0.3">
      <c r="H236" s="12">
        <f t="shared" si="11"/>
        <v>0</v>
      </c>
      <c r="S236" s="7">
        <f t="shared" si="9"/>
        <v>0</v>
      </c>
      <c r="T236" s="7">
        <f t="shared" si="10"/>
        <v>0</v>
      </c>
    </row>
    <row r="237" spans="8:20" x14ac:dyDescent="0.3">
      <c r="H237" s="12">
        <f t="shared" si="11"/>
        <v>0</v>
      </c>
      <c r="S237" s="7">
        <f t="shared" si="9"/>
        <v>0</v>
      </c>
      <c r="T237" s="7">
        <f t="shared" si="10"/>
        <v>0</v>
      </c>
    </row>
    <row r="238" spans="8:20" x14ac:dyDescent="0.3">
      <c r="H238" s="12">
        <f t="shared" si="11"/>
        <v>0</v>
      </c>
      <c r="S238" s="7">
        <f t="shared" si="9"/>
        <v>0</v>
      </c>
      <c r="T238" s="7">
        <f t="shared" si="10"/>
        <v>0</v>
      </c>
    </row>
    <row r="239" spans="8:20" x14ac:dyDescent="0.3">
      <c r="H239" s="12">
        <f t="shared" si="11"/>
        <v>0</v>
      </c>
      <c r="S239" s="7">
        <f t="shared" si="9"/>
        <v>0</v>
      </c>
      <c r="T239" s="7">
        <f t="shared" si="10"/>
        <v>0</v>
      </c>
    </row>
    <row r="240" spans="8:20" x14ac:dyDescent="0.3">
      <c r="H240" s="12">
        <f t="shared" si="11"/>
        <v>0</v>
      </c>
      <c r="S240" s="7">
        <f t="shared" si="9"/>
        <v>0</v>
      </c>
      <c r="T240" s="7">
        <f t="shared" si="10"/>
        <v>0</v>
      </c>
    </row>
    <row r="241" spans="8:20" x14ac:dyDescent="0.3">
      <c r="H241" s="12">
        <f t="shared" si="11"/>
        <v>0</v>
      </c>
      <c r="S241" s="7">
        <f t="shared" si="9"/>
        <v>0</v>
      </c>
      <c r="T241" s="7">
        <f t="shared" si="10"/>
        <v>0</v>
      </c>
    </row>
    <row r="242" spans="8:20" x14ac:dyDescent="0.3">
      <c r="H242" s="12">
        <f t="shared" si="11"/>
        <v>0</v>
      </c>
      <c r="S242" s="7">
        <f t="shared" si="9"/>
        <v>0</v>
      </c>
      <c r="T242" s="7">
        <f t="shared" si="10"/>
        <v>0</v>
      </c>
    </row>
    <row r="243" spans="8:20" x14ac:dyDescent="0.3">
      <c r="H243" s="12">
        <f t="shared" si="11"/>
        <v>0</v>
      </c>
      <c r="S243" s="7">
        <f t="shared" si="9"/>
        <v>0</v>
      </c>
      <c r="T243" s="7">
        <f t="shared" si="10"/>
        <v>0</v>
      </c>
    </row>
    <row r="244" spans="8:20" x14ac:dyDescent="0.3">
      <c r="H244" s="12">
        <f t="shared" si="11"/>
        <v>0</v>
      </c>
      <c r="S244" s="7">
        <f t="shared" si="9"/>
        <v>0</v>
      </c>
      <c r="T244" s="7">
        <f t="shared" si="10"/>
        <v>0</v>
      </c>
    </row>
    <row r="245" spans="8:20" x14ac:dyDescent="0.3">
      <c r="H245" s="12">
        <f t="shared" si="11"/>
        <v>0</v>
      </c>
      <c r="S245" s="7">
        <f t="shared" si="9"/>
        <v>0</v>
      </c>
      <c r="T245" s="7">
        <f t="shared" si="10"/>
        <v>0</v>
      </c>
    </row>
    <row r="246" spans="8:20" x14ac:dyDescent="0.3">
      <c r="H246" s="12">
        <f t="shared" si="11"/>
        <v>0</v>
      </c>
      <c r="S246" s="7">
        <f t="shared" si="9"/>
        <v>0</v>
      </c>
      <c r="T246" s="7">
        <f t="shared" si="10"/>
        <v>0</v>
      </c>
    </row>
    <row r="247" spans="8:20" x14ac:dyDescent="0.3">
      <c r="H247" s="12">
        <f t="shared" si="11"/>
        <v>0</v>
      </c>
      <c r="S247" s="7">
        <f t="shared" si="9"/>
        <v>0</v>
      </c>
      <c r="T247" s="7">
        <f t="shared" si="10"/>
        <v>0</v>
      </c>
    </row>
    <row r="248" spans="8:20" x14ac:dyDescent="0.3">
      <c r="H248" s="12">
        <f t="shared" si="11"/>
        <v>0</v>
      </c>
      <c r="S248" s="7">
        <f t="shared" si="9"/>
        <v>0</v>
      </c>
      <c r="T248" s="7">
        <f t="shared" si="10"/>
        <v>0</v>
      </c>
    </row>
    <row r="249" spans="8:20" x14ac:dyDescent="0.3">
      <c r="H249" s="12">
        <f t="shared" si="11"/>
        <v>0</v>
      </c>
      <c r="S249" s="7">
        <f t="shared" si="9"/>
        <v>0</v>
      </c>
      <c r="T249" s="7">
        <f t="shared" si="10"/>
        <v>0</v>
      </c>
    </row>
    <row r="250" spans="8:20" x14ac:dyDescent="0.3">
      <c r="H250" s="12">
        <f t="shared" si="11"/>
        <v>0</v>
      </c>
      <c r="S250" s="7">
        <f t="shared" si="9"/>
        <v>0</v>
      </c>
      <c r="T250" s="7">
        <f t="shared" si="10"/>
        <v>0</v>
      </c>
    </row>
    <row r="251" spans="8:20" x14ac:dyDescent="0.3">
      <c r="H251" s="12">
        <f t="shared" si="11"/>
        <v>0</v>
      </c>
      <c r="S251" s="7">
        <f t="shared" si="9"/>
        <v>0</v>
      </c>
      <c r="T251" s="7">
        <f t="shared" si="10"/>
        <v>0</v>
      </c>
    </row>
    <row r="252" spans="8:20" x14ac:dyDescent="0.3">
      <c r="H252" s="12">
        <f t="shared" si="11"/>
        <v>0</v>
      </c>
      <c r="S252" s="7">
        <f t="shared" si="9"/>
        <v>0</v>
      </c>
      <c r="T252" s="7">
        <f t="shared" si="10"/>
        <v>0</v>
      </c>
    </row>
    <row r="253" spans="8:20" x14ac:dyDescent="0.3">
      <c r="H253" s="12">
        <f t="shared" si="11"/>
        <v>0</v>
      </c>
      <c r="S253" s="7">
        <f t="shared" si="9"/>
        <v>0</v>
      </c>
      <c r="T253" s="7">
        <f t="shared" si="10"/>
        <v>0</v>
      </c>
    </row>
    <row r="254" spans="8:20" x14ac:dyDescent="0.3">
      <c r="H254" s="12">
        <f t="shared" si="11"/>
        <v>0</v>
      </c>
      <c r="S254" s="7">
        <f t="shared" si="9"/>
        <v>0</v>
      </c>
      <c r="T254" s="7">
        <f t="shared" si="10"/>
        <v>0</v>
      </c>
    </row>
    <row r="255" spans="8:20" x14ac:dyDescent="0.3">
      <c r="H255" s="12">
        <f t="shared" si="11"/>
        <v>0</v>
      </c>
      <c r="S255" s="7">
        <f t="shared" si="9"/>
        <v>0</v>
      </c>
      <c r="T255" s="7">
        <f t="shared" si="10"/>
        <v>0</v>
      </c>
    </row>
    <row r="256" spans="8:20" x14ac:dyDescent="0.3">
      <c r="H256" s="12">
        <f t="shared" si="11"/>
        <v>0</v>
      </c>
      <c r="S256" s="7">
        <f t="shared" si="9"/>
        <v>0</v>
      </c>
      <c r="T256" s="7">
        <f t="shared" si="10"/>
        <v>0</v>
      </c>
    </row>
    <row r="257" spans="8:20" x14ac:dyDescent="0.3">
      <c r="H257" s="12">
        <f t="shared" si="11"/>
        <v>0</v>
      </c>
      <c r="S257" s="7">
        <f t="shared" si="9"/>
        <v>0</v>
      </c>
      <c r="T257" s="7">
        <f t="shared" si="10"/>
        <v>0</v>
      </c>
    </row>
    <row r="258" spans="8:20" x14ac:dyDescent="0.3">
      <c r="H258" s="12">
        <f t="shared" si="11"/>
        <v>0</v>
      </c>
      <c r="S258" s="7">
        <f t="shared" ref="S258:S321" si="12">SUM(I258:R258)</f>
        <v>0</v>
      </c>
      <c r="T258" s="7">
        <f t="shared" ref="T258:T321" si="13">F258-S258</f>
        <v>0</v>
      </c>
    </row>
    <row r="259" spans="8:20" x14ac:dyDescent="0.3">
      <c r="H259" s="12">
        <f t="shared" si="11"/>
        <v>0</v>
      </c>
      <c r="S259" s="7">
        <f t="shared" si="12"/>
        <v>0</v>
      </c>
      <c r="T259" s="7">
        <f t="shared" si="13"/>
        <v>0</v>
      </c>
    </row>
    <row r="260" spans="8:20" x14ac:dyDescent="0.3">
      <c r="H260" s="12">
        <f t="shared" ref="H260:H323" si="14">F260*G260</f>
        <v>0</v>
      </c>
      <c r="S260" s="7">
        <f t="shared" si="12"/>
        <v>0</v>
      </c>
      <c r="T260" s="7">
        <f t="shared" si="13"/>
        <v>0</v>
      </c>
    </row>
    <row r="261" spans="8:20" x14ac:dyDescent="0.3">
      <c r="H261" s="12">
        <f t="shared" si="14"/>
        <v>0</v>
      </c>
      <c r="S261" s="7">
        <f t="shared" si="12"/>
        <v>0</v>
      </c>
      <c r="T261" s="7">
        <f t="shared" si="13"/>
        <v>0</v>
      </c>
    </row>
    <row r="262" spans="8:20" x14ac:dyDescent="0.3">
      <c r="H262" s="12">
        <f t="shared" si="14"/>
        <v>0</v>
      </c>
      <c r="S262" s="7">
        <f t="shared" si="12"/>
        <v>0</v>
      </c>
      <c r="T262" s="7">
        <f t="shared" si="13"/>
        <v>0</v>
      </c>
    </row>
    <row r="263" spans="8:20" x14ac:dyDescent="0.3">
      <c r="H263" s="12">
        <f t="shared" si="14"/>
        <v>0</v>
      </c>
      <c r="S263" s="7">
        <f t="shared" si="12"/>
        <v>0</v>
      </c>
      <c r="T263" s="7">
        <f t="shared" si="13"/>
        <v>0</v>
      </c>
    </row>
    <row r="264" spans="8:20" x14ac:dyDescent="0.3">
      <c r="H264" s="12">
        <f t="shared" si="14"/>
        <v>0</v>
      </c>
      <c r="S264" s="7">
        <f t="shared" si="12"/>
        <v>0</v>
      </c>
      <c r="T264" s="7">
        <f t="shared" si="13"/>
        <v>0</v>
      </c>
    </row>
    <row r="265" spans="8:20" x14ac:dyDescent="0.3">
      <c r="H265" s="12">
        <f t="shared" si="14"/>
        <v>0</v>
      </c>
      <c r="S265" s="7">
        <f t="shared" si="12"/>
        <v>0</v>
      </c>
      <c r="T265" s="7">
        <f t="shared" si="13"/>
        <v>0</v>
      </c>
    </row>
    <row r="266" spans="8:20" x14ac:dyDescent="0.3">
      <c r="H266" s="12">
        <f t="shared" si="14"/>
        <v>0</v>
      </c>
      <c r="S266" s="7">
        <f t="shared" si="12"/>
        <v>0</v>
      </c>
      <c r="T266" s="7">
        <f t="shared" si="13"/>
        <v>0</v>
      </c>
    </row>
    <row r="267" spans="8:20" x14ac:dyDescent="0.3">
      <c r="H267" s="12">
        <f t="shared" si="14"/>
        <v>0</v>
      </c>
      <c r="S267" s="7">
        <f t="shared" si="12"/>
        <v>0</v>
      </c>
      <c r="T267" s="7">
        <f t="shared" si="13"/>
        <v>0</v>
      </c>
    </row>
    <row r="268" spans="8:20" x14ac:dyDescent="0.3">
      <c r="H268" s="12">
        <f t="shared" si="14"/>
        <v>0</v>
      </c>
      <c r="S268" s="7">
        <f t="shared" si="12"/>
        <v>0</v>
      </c>
      <c r="T268" s="7">
        <f t="shared" si="13"/>
        <v>0</v>
      </c>
    </row>
    <row r="269" spans="8:20" x14ac:dyDescent="0.3">
      <c r="H269" s="12">
        <f t="shared" si="14"/>
        <v>0</v>
      </c>
      <c r="S269" s="7">
        <f t="shared" si="12"/>
        <v>0</v>
      </c>
      <c r="T269" s="7">
        <f t="shared" si="13"/>
        <v>0</v>
      </c>
    </row>
    <row r="270" spans="8:20" x14ac:dyDescent="0.3">
      <c r="H270" s="12">
        <f t="shared" si="14"/>
        <v>0</v>
      </c>
      <c r="S270" s="7">
        <f t="shared" si="12"/>
        <v>0</v>
      </c>
      <c r="T270" s="7">
        <f t="shared" si="13"/>
        <v>0</v>
      </c>
    </row>
    <row r="271" spans="8:20" x14ac:dyDescent="0.3">
      <c r="H271" s="12">
        <f t="shared" si="14"/>
        <v>0</v>
      </c>
      <c r="S271" s="7">
        <f t="shared" si="12"/>
        <v>0</v>
      </c>
      <c r="T271" s="7">
        <f t="shared" si="13"/>
        <v>0</v>
      </c>
    </row>
    <row r="272" spans="8:20" x14ac:dyDescent="0.3">
      <c r="H272" s="12">
        <f t="shared" si="14"/>
        <v>0</v>
      </c>
      <c r="S272" s="7">
        <f t="shared" si="12"/>
        <v>0</v>
      </c>
      <c r="T272" s="7">
        <f t="shared" si="13"/>
        <v>0</v>
      </c>
    </row>
    <row r="273" spans="8:20" x14ac:dyDescent="0.3">
      <c r="H273" s="12">
        <f t="shared" si="14"/>
        <v>0</v>
      </c>
      <c r="S273" s="7">
        <f t="shared" si="12"/>
        <v>0</v>
      </c>
      <c r="T273" s="7">
        <f t="shared" si="13"/>
        <v>0</v>
      </c>
    </row>
    <row r="274" spans="8:20" x14ac:dyDescent="0.3">
      <c r="H274" s="12">
        <f t="shared" si="14"/>
        <v>0</v>
      </c>
      <c r="S274" s="7">
        <f t="shared" si="12"/>
        <v>0</v>
      </c>
      <c r="T274" s="7">
        <f t="shared" si="13"/>
        <v>0</v>
      </c>
    </row>
    <row r="275" spans="8:20" x14ac:dyDescent="0.3">
      <c r="H275" s="12">
        <f t="shared" si="14"/>
        <v>0</v>
      </c>
      <c r="S275" s="7">
        <f t="shared" si="12"/>
        <v>0</v>
      </c>
      <c r="T275" s="7">
        <f t="shared" si="13"/>
        <v>0</v>
      </c>
    </row>
    <row r="276" spans="8:20" x14ac:dyDescent="0.3">
      <c r="H276" s="12">
        <f t="shared" si="14"/>
        <v>0</v>
      </c>
      <c r="S276" s="7">
        <f t="shared" si="12"/>
        <v>0</v>
      </c>
      <c r="T276" s="7">
        <f t="shared" si="13"/>
        <v>0</v>
      </c>
    </row>
    <row r="277" spans="8:20" x14ac:dyDescent="0.3">
      <c r="H277" s="12">
        <f t="shared" si="14"/>
        <v>0</v>
      </c>
      <c r="S277" s="7">
        <f t="shared" si="12"/>
        <v>0</v>
      </c>
      <c r="T277" s="7">
        <f t="shared" si="13"/>
        <v>0</v>
      </c>
    </row>
    <row r="278" spans="8:20" x14ac:dyDescent="0.3">
      <c r="H278" s="12">
        <f t="shared" si="14"/>
        <v>0</v>
      </c>
      <c r="S278" s="7">
        <f t="shared" si="12"/>
        <v>0</v>
      </c>
      <c r="T278" s="7">
        <f t="shared" si="13"/>
        <v>0</v>
      </c>
    </row>
    <row r="279" spans="8:20" x14ac:dyDescent="0.3">
      <c r="H279" s="12">
        <f t="shared" si="14"/>
        <v>0</v>
      </c>
      <c r="S279" s="7">
        <f t="shared" si="12"/>
        <v>0</v>
      </c>
      <c r="T279" s="7">
        <f t="shared" si="13"/>
        <v>0</v>
      </c>
    </row>
    <row r="280" spans="8:20" x14ac:dyDescent="0.3">
      <c r="H280" s="12">
        <f t="shared" si="14"/>
        <v>0</v>
      </c>
      <c r="S280" s="7">
        <f t="shared" si="12"/>
        <v>0</v>
      </c>
      <c r="T280" s="7">
        <f t="shared" si="13"/>
        <v>0</v>
      </c>
    </row>
    <row r="281" spans="8:20" x14ac:dyDescent="0.3">
      <c r="H281" s="12">
        <f t="shared" si="14"/>
        <v>0</v>
      </c>
      <c r="S281" s="7">
        <f t="shared" si="12"/>
        <v>0</v>
      </c>
      <c r="T281" s="7">
        <f t="shared" si="13"/>
        <v>0</v>
      </c>
    </row>
    <row r="282" spans="8:20" x14ac:dyDescent="0.3">
      <c r="H282" s="12">
        <f t="shared" si="14"/>
        <v>0</v>
      </c>
      <c r="S282" s="7">
        <f t="shared" si="12"/>
        <v>0</v>
      </c>
      <c r="T282" s="7">
        <f t="shared" si="13"/>
        <v>0</v>
      </c>
    </row>
    <row r="283" spans="8:20" x14ac:dyDescent="0.3">
      <c r="H283" s="12">
        <f t="shared" si="14"/>
        <v>0</v>
      </c>
      <c r="S283" s="7">
        <f t="shared" si="12"/>
        <v>0</v>
      </c>
      <c r="T283" s="7">
        <f t="shared" si="13"/>
        <v>0</v>
      </c>
    </row>
    <row r="284" spans="8:20" x14ac:dyDescent="0.3">
      <c r="H284" s="12">
        <f t="shared" si="14"/>
        <v>0</v>
      </c>
      <c r="S284" s="7">
        <f t="shared" si="12"/>
        <v>0</v>
      </c>
      <c r="T284" s="7">
        <f t="shared" si="13"/>
        <v>0</v>
      </c>
    </row>
    <row r="285" spans="8:20" x14ac:dyDescent="0.3">
      <c r="H285" s="12">
        <f t="shared" si="14"/>
        <v>0</v>
      </c>
      <c r="S285" s="7">
        <f t="shared" si="12"/>
        <v>0</v>
      </c>
      <c r="T285" s="7">
        <f t="shared" si="13"/>
        <v>0</v>
      </c>
    </row>
    <row r="286" spans="8:20" x14ac:dyDescent="0.3">
      <c r="H286" s="12">
        <f t="shared" si="14"/>
        <v>0</v>
      </c>
      <c r="S286" s="7">
        <f t="shared" si="12"/>
        <v>0</v>
      </c>
      <c r="T286" s="7">
        <f t="shared" si="13"/>
        <v>0</v>
      </c>
    </row>
    <row r="287" spans="8:20" x14ac:dyDescent="0.3">
      <c r="H287" s="12">
        <f t="shared" si="14"/>
        <v>0</v>
      </c>
      <c r="S287" s="7">
        <f t="shared" si="12"/>
        <v>0</v>
      </c>
      <c r="T287" s="7">
        <f t="shared" si="13"/>
        <v>0</v>
      </c>
    </row>
    <row r="288" spans="8:20" x14ac:dyDescent="0.3">
      <c r="H288" s="12">
        <f t="shared" si="14"/>
        <v>0</v>
      </c>
      <c r="S288" s="7">
        <f t="shared" si="12"/>
        <v>0</v>
      </c>
      <c r="T288" s="7">
        <f t="shared" si="13"/>
        <v>0</v>
      </c>
    </row>
    <row r="289" spans="8:20" x14ac:dyDescent="0.3">
      <c r="H289" s="12">
        <f t="shared" si="14"/>
        <v>0</v>
      </c>
      <c r="S289" s="7">
        <f t="shared" si="12"/>
        <v>0</v>
      </c>
      <c r="T289" s="7">
        <f t="shared" si="13"/>
        <v>0</v>
      </c>
    </row>
    <row r="290" spans="8:20" x14ac:dyDescent="0.3">
      <c r="H290" s="12">
        <f t="shared" si="14"/>
        <v>0</v>
      </c>
      <c r="S290" s="7">
        <f t="shared" si="12"/>
        <v>0</v>
      </c>
      <c r="T290" s="7">
        <f t="shared" si="13"/>
        <v>0</v>
      </c>
    </row>
    <row r="291" spans="8:20" x14ac:dyDescent="0.3">
      <c r="H291" s="12">
        <f t="shared" si="14"/>
        <v>0</v>
      </c>
      <c r="S291" s="7">
        <f t="shared" si="12"/>
        <v>0</v>
      </c>
      <c r="T291" s="7">
        <f t="shared" si="13"/>
        <v>0</v>
      </c>
    </row>
    <row r="292" spans="8:20" x14ac:dyDescent="0.3">
      <c r="H292" s="12">
        <f t="shared" si="14"/>
        <v>0</v>
      </c>
      <c r="S292" s="7">
        <f t="shared" si="12"/>
        <v>0</v>
      </c>
      <c r="T292" s="7">
        <f t="shared" si="13"/>
        <v>0</v>
      </c>
    </row>
    <row r="293" spans="8:20" x14ac:dyDescent="0.3">
      <c r="H293" s="12">
        <f t="shared" si="14"/>
        <v>0</v>
      </c>
      <c r="S293" s="7">
        <f t="shared" si="12"/>
        <v>0</v>
      </c>
      <c r="T293" s="7">
        <f t="shared" si="13"/>
        <v>0</v>
      </c>
    </row>
    <row r="294" spans="8:20" x14ac:dyDescent="0.3">
      <c r="H294" s="12">
        <f t="shared" si="14"/>
        <v>0</v>
      </c>
      <c r="S294" s="7">
        <f t="shared" si="12"/>
        <v>0</v>
      </c>
      <c r="T294" s="7">
        <f t="shared" si="13"/>
        <v>0</v>
      </c>
    </row>
    <row r="295" spans="8:20" x14ac:dyDescent="0.3">
      <c r="H295" s="12">
        <f t="shared" si="14"/>
        <v>0</v>
      </c>
      <c r="S295" s="7">
        <f t="shared" si="12"/>
        <v>0</v>
      </c>
      <c r="T295" s="7">
        <f t="shared" si="13"/>
        <v>0</v>
      </c>
    </row>
    <row r="296" spans="8:20" x14ac:dyDescent="0.3">
      <c r="H296" s="12">
        <f t="shared" si="14"/>
        <v>0</v>
      </c>
      <c r="S296" s="7">
        <f t="shared" si="12"/>
        <v>0</v>
      </c>
      <c r="T296" s="7">
        <f t="shared" si="13"/>
        <v>0</v>
      </c>
    </row>
    <row r="297" spans="8:20" x14ac:dyDescent="0.3">
      <c r="H297" s="12">
        <f t="shared" si="14"/>
        <v>0</v>
      </c>
      <c r="S297" s="7">
        <f t="shared" si="12"/>
        <v>0</v>
      </c>
      <c r="T297" s="7">
        <f t="shared" si="13"/>
        <v>0</v>
      </c>
    </row>
    <row r="298" spans="8:20" x14ac:dyDescent="0.3">
      <c r="H298" s="12">
        <f t="shared" si="14"/>
        <v>0</v>
      </c>
      <c r="S298" s="7">
        <f t="shared" si="12"/>
        <v>0</v>
      </c>
      <c r="T298" s="7">
        <f t="shared" si="13"/>
        <v>0</v>
      </c>
    </row>
    <row r="299" spans="8:20" x14ac:dyDescent="0.3">
      <c r="H299" s="12">
        <f t="shared" si="14"/>
        <v>0</v>
      </c>
      <c r="S299" s="7">
        <f t="shared" si="12"/>
        <v>0</v>
      </c>
      <c r="T299" s="7">
        <f t="shared" si="13"/>
        <v>0</v>
      </c>
    </row>
    <row r="300" spans="8:20" x14ac:dyDescent="0.3">
      <c r="H300" s="12">
        <f t="shared" si="14"/>
        <v>0</v>
      </c>
      <c r="S300" s="7">
        <f t="shared" si="12"/>
        <v>0</v>
      </c>
      <c r="T300" s="7">
        <f t="shared" si="13"/>
        <v>0</v>
      </c>
    </row>
    <row r="301" spans="8:20" x14ac:dyDescent="0.3">
      <c r="H301" s="12">
        <f t="shared" si="14"/>
        <v>0</v>
      </c>
      <c r="S301" s="7">
        <f t="shared" si="12"/>
        <v>0</v>
      </c>
      <c r="T301" s="7">
        <f t="shared" si="13"/>
        <v>0</v>
      </c>
    </row>
    <row r="302" spans="8:20" x14ac:dyDescent="0.3">
      <c r="H302" s="12">
        <f t="shared" si="14"/>
        <v>0</v>
      </c>
      <c r="S302" s="7">
        <f t="shared" si="12"/>
        <v>0</v>
      </c>
      <c r="T302" s="7">
        <f t="shared" si="13"/>
        <v>0</v>
      </c>
    </row>
    <row r="303" spans="8:20" x14ac:dyDescent="0.3">
      <c r="H303" s="12">
        <f t="shared" si="14"/>
        <v>0</v>
      </c>
      <c r="S303" s="7">
        <f t="shared" si="12"/>
        <v>0</v>
      </c>
      <c r="T303" s="7">
        <f t="shared" si="13"/>
        <v>0</v>
      </c>
    </row>
    <row r="304" spans="8:20" x14ac:dyDescent="0.3">
      <c r="H304" s="12">
        <f t="shared" si="14"/>
        <v>0</v>
      </c>
      <c r="S304" s="7">
        <f t="shared" si="12"/>
        <v>0</v>
      </c>
      <c r="T304" s="7">
        <f t="shared" si="13"/>
        <v>0</v>
      </c>
    </row>
    <row r="305" spans="8:20" x14ac:dyDescent="0.3">
      <c r="H305" s="12">
        <f t="shared" si="14"/>
        <v>0</v>
      </c>
      <c r="S305" s="7">
        <f t="shared" si="12"/>
        <v>0</v>
      </c>
      <c r="T305" s="7">
        <f t="shared" si="13"/>
        <v>0</v>
      </c>
    </row>
    <row r="306" spans="8:20" x14ac:dyDescent="0.3">
      <c r="H306" s="12">
        <f t="shared" si="14"/>
        <v>0</v>
      </c>
      <c r="S306" s="7">
        <f t="shared" si="12"/>
        <v>0</v>
      </c>
      <c r="T306" s="7">
        <f t="shared" si="13"/>
        <v>0</v>
      </c>
    </row>
    <row r="307" spans="8:20" x14ac:dyDescent="0.3">
      <c r="H307" s="12">
        <f t="shared" si="14"/>
        <v>0</v>
      </c>
      <c r="S307" s="7">
        <f t="shared" si="12"/>
        <v>0</v>
      </c>
      <c r="T307" s="7">
        <f t="shared" si="13"/>
        <v>0</v>
      </c>
    </row>
    <row r="308" spans="8:20" x14ac:dyDescent="0.3">
      <c r="H308" s="12">
        <f t="shared" si="14"/>
        <v>0</v>
      </c>
      <c r="S308" s="7">
        <f t="shared" si="12"/>
        <v>0</v>
      </c>
      <c r="T308" s="7">
        <f t="shared" si="13"/>
        <v>0</v>
      </c>
    </row>
    <row r="309" spans="8:20" x14ac:dyDescent="0.3">
      <c r="H309" s="12">
        <f t="shared" si="14"/>
        <v>0</v>
      </c>
      <c r="S309" s="7">
        <f t="shared" si="12"/>
        <v>0</v>
      </c>
      <c r="T309" s="7">
        <f t="shared" si="13"/>
        <v>0</v>
      </c>
    </row>
    <row r="310" spans="8:20" x14ac:dyDescent="0.3">
      <c r="H310" s="12">
        <f t="shared" si="14"/>
        <v>0</v>
      </c>
      <c r="S310" s="7">
        <f t="shared" si="12"/>
        <v>0</v>
      </c>
      <c r="T310" s="7">
        <f t="shared" si="13"/>
        <v>0</v>
      </c>
    </row>
    <row r="311" spans="8:20" x14ac:dyDescent="0.3">
      <c r="H311" s="12">
        <f t="shared" si="14"/>
        <v>0</v>
      </c>
      <c r="S311" s="7">
        <f t="shared" si="12"/>
        <v>0</v>
      </c>
      <c r="T311" s="7">
        <f t="shared" si="13"/>
        <v>0</v>
      </c>
    </row>
    <row r="312" spans="8:20" x14ac:dyDescent="0.3">
      <c r="H312" s="12">
        <f t="shared" si="14"/>
        <v>0</v>
      </c>
      <c r="S312" s="7">
        <f t="shared" si="12"/>
        <v>0</v>
      </c>
      <c r="T312" s="7">
        <f t="shared" si="13"/>
        <v>0</v>
      </c>
    </row>
    <row r="313" spans="8:20" x14ac:dyDescent="0.3">
      <c r="H313" s="12">
        <f t="shared" si="14"/>
        <v>0</v>
      </c>
      <c r="S313" s="7">
        <f t="shared" si="12"/>
        <v>0</v>
      </c>
      <c r="T313" s="7">
        <f t="shared" si="13"/>
        <v>0</v>
      </c>
    </row>
    <row r="314" spans="8:20" x14ac:dyDescent="0.3">
      <c r="H314" s="12">
        <f t="shared" si="14"/>
        <v>0</v>
      </c>
      <c r="S314" s="7">
        <f t="shared" si="12"/>
        <v>0</v>
      </c>
      <c r="T314" s="7">
        <f t="shared" si="13"/>
        <v>0</v>
      </c>
    </row>
    <row r="315" spans="8:20" x14ac:dyDescent="0.3">
      <c r="H315" s="12">
        <f t="shared" si="14"/>
        <v>0</v>
      </c>
      <c r="S315" s="7">
        <f t="shared" si="12"/>
        <v>0</v>
      </c>
      <c r="T315" s="7">
        <f t="shared" si="13"/>
        <v>0</v>
      </c>
    </row>
    <row r="316" spans="8:20" x14ac:dyDescent="0.3">
      <c r="H316" s="12">
        <f t="shared" si="14"/>
        <v>0</v>
      </c>
      <c r="S316" s="7">
        <f t="shared" si="12"/>
        <v>0</v>
      </c>
      <c r="T316" s="7">
        <f t="shared" si="13"/>
        <v>0</v>
      </c>
    </row>
    <row r="317" spans="8:20" x14ac:dyDescent="0.3">
      <c r="H317" s="12">
        <f t="shared" si="14"/>
        <v>0</v>
      </c>
      <c r="S317" s="7">
        <f t="shared" si="12"/>
        <v>0</v>
      </c>
      <c r="T317" s="7">
        <f t="shared" si="13"/>
        <v>0</v>
      </c>
    </row>
    <row r="318" spans="8:20" x14ac:dyDescent="0.3">
      <c r="H318" s="12">
        <f t="shared" si="14"/>
        <v>0</v>
      </c>
      <c r="S318" s="7">
        <f t="shared" si="12"/>
        <v>0</v>
      </c>
      <c r="T318" s="7">
        <f t="shared" si="13"/>
        <v>0</v>
      </c>
    </row>
    <row r="319" spans="8:20" x14ac:dyDescent="0.3">
      <c r="H319" s="12">
        <f t="shared" si="14"/>
        <v>0</v>
      </c>
      <c r="S319" s="7">
        <f t="shared" si="12"/>
        <v>0</v>
      </c>
      <c r="T319" s="7">
        <f t="shared" si="13"/>
        <v>0</v>
      </c>
    </row>
    <row r="320" spans="8:20" x14ac:dyDescent="0.3">
      <c r="H320" s="12">
        <f t="shared" si="14"/>
        <v>0</v>
      </c>
      <c r="S320" s="7">
        <f t="shared" si="12"/>
        <v>0</v>
      </c>
      <c r="T320" s="7">
        <f t="shared" si="13"/>
        <v>0</v>
      </c>
    </row>
    <row r="321" spans="8:20" x14ac:dyDescent="0.3">
      <c r="H321" s="12">
        <f t="shared" si="14"/>
        <v>0</v>
      </c>
      <c r="S321" s="7">
        <f t="shared" si="12"/>
        <v>0</v>
      </c>
      <c r="T321" s="7">
        <f t="shared" si="13"/>
        <v>0</v>
      </c>
    </row>
    <row r="322" spans="8:20" x14ac:dyDescent="0.3">
      <c r="H322" s="12">
        <f t="shared" si="14"/>
        <v>0</v>
      </c>
      <c r="S322" s="7">
        <f t="shared" ref="S322:S385" si="15">SUM(I322:R322)</f>
        <v>0</v>
      </c>
      <c r="T322" s="7">
        <f t="shared" ref="T322:T385" si="16">F322-S322</f>
        <v>0</v>
      </c>
    </row>
    <row r="323" spans="8:20" x14ac:dyDescent="0.3">
      <c r="H323" s="12">
        <f t="shared" si="14"/>
        <v>0</v>
      </c>
      <c r="S323" s="7">
        <f t="shared" si="15"/>
        <v>0</v>
      </c>
      <c r="T323" s="7">
        <f t="shared" si="16"/>
        <v>0</v>
      </c>
    </row>
    <row r="324" spans="8:20" x14ac:dyDescent="0.3">
      <c r="H324" s="12">
        <f t="shared" ref="H324:H387" si="17">F324*G324</f>
        <v>0</v>
      </c>
      <c r="S324" s="7">
        <f t="shared" si="15"/>
        <v>0</v>
      </c>
      <c r="T324" s="7">
        <f t="shared" si="16"/>
        <v>0</v>
      </c>
    </row>
    <row r="325" spans="8:20" x14ac:dyDescent="0.3">
      <c r="H325" s="12">
        <f t="shared" si="17"/>
        <v>0</v>
      </c>
      <c r="S325" s="7">
        <f t="shared" si="15"/>
        <v>0</v>
      </c>
      <c r="T325" s="7">
        <f t="shared" si="16"/>
        <v>0</v>
      </c>
    </row>
    <row r="326" spans="8:20" x14ac:dyDescent="0.3">
      <c r="H326" s="12">
        <f t="shared" si="17"/>
        <v>0</v>
      </c>
      <c r="S326" s="7">
        <f t="shared" si="15"/>
        <v>0</v>
      </c>
      <c r="T326" s="7">
        <f t="shared" si="16"/>
        <v>0</v>
      </c>
    </row>
    <row r="327" spans="8:20" x14ac:dyDescent="0.3">
      <c r="H327" s="12">
        <f t="shared" si="17"/>
        <v>0</v>
      </c>
      <c r="S327" s="7">
        <f t="shared" si="15"/>
        <v>0</v>
      </c>
      <c r="T327" s="7">
        <f t="shared" si="16"/>
        <v>0</v>
      </c>
    </row>
    <row r="328" spans="8:20" x14ac:dyDescent="0.3">
      <c r="H328" s="12">
        <f t="shared" si="17"/>
        <v>0</v>
      </c>
      <c r="S328" s="7">
        <f t="shared" si="15"/>
        <v>0</v>
      </c>
      <c r="T328" s="7">
        <f t="shared" si="16"/>
        <v>0</v>
      </c>
    </row>
    <row r="329" spans="8:20" x14ac:dyDescent="0.3">
      <c r="H329" s="12">
        <f t="shared" si="17"/>
        <v>0</v>
      </c>
      <c r="S329" s="7">
        <f t="shared" si="15"/>
        <v>0</v>
      </c>
      <c r="T329" s="7">
        <f t="shared" si="16"/>
        <v>0</v>
      </c>
    </row>
    <row r="330" spans="8:20" x14ac:dyDescent="0.3">
      <c r="H330" s="12">
        <f t="shared" si="17"/>
        <v>0</v>
      </c>
      <c r="S330" s="7">
        <f t="shared" si="15"/>
        <v>0</v>
      </c>
      <c r="T330" s="7">
        <f t="shared" si="16"/>
        <v>0</v>
      </c>
    </row>
    <row r="331" spans="8:20" x14ac:dyDescent="0.3">
      <c r="H331" s="12">
        <f t="shared" si="17"/>
        <v>0</v>
      </c>
      <c r="S331" s="7">
        <f t="shared" si="15"/>
        <v>0</v>
      </c>
      <c r="T331" s="7">
        <f t="shared" si="16"/>
        <v>0</v>
      </c>
    </row>
    <row r="332" spans="8:20" x14ac:dyDescent="0.3">
      <c r="H332" s="12">
        <f t="shared" si="17"/>
        <v>0</v>
      </c>
      <c r="S332" s="7">
        <f t="shared" si="15"/>
        <v>0</v>
      </c>
      <c r="T332" s="7">
        <f t="shared" si="16"/>
        <v>0</v>
      </c>
    </row>
    <row r="333" spans="8:20" x14ac:dyDescent="0.3">
      <c r="H333" s="12">
        <f t="shared" si="17"/>
        <v>0</v>
      </c>
      <c r="S333" s="7">
        <f t="shared" si="15"/>
        <v>0</v>
      </c>
      <c r="T333" s="7">
        <f t="shared" si="16"/>
        <v>0</v>
      </c>
    </row>
    <row r="334" spans="8:20" x14ac:dyDescent="0.3">
      <c r="H334" s="12">
        <f t="shared" si="17"/>
        <v>0</v>
      </c>
      <c r="S334" s="7">
        <f t="shared" si="15"/>
        <v>0</v>
      </c>
      <c r="T334" s="7">
        <f t="shared" si="16"/>
        <v>0</v>
      </c>
    </row>
    <row r="335" spans="8:20" x14ac:dyDescent="0.3">
      <c r="H335" s="12">
        <f t="shared" si="17"/>
        <v>0</v>
      </c>
      <c r="S335" s="7">
        <f t="shared" si="15"/>
        <v>0</v>
      </c>
      <c r="T335" s="7">
        <f t="shared" si="16"/>
        <v>0</v>
      </c>
    </row>
    <row r="336" spans="8:20" x14ac:dyDescent="0.3">
      <c r="H336" s="12">
        <f t="shared" si="17"/>
        <v>0</v>
      </c>
      <c r="S336" s="7">
        <f t="shared" si="15"/>
        <v>0</v>
      </c>
      <c r="T336" s="7">
        <f t="shared" si="16"/>
        <v>0</v>
      </c>
    </row>
    <row r="337" spans="8:20" x14ac:dyDescent="0.3">
      <c r="H337" s="12">
        <f t="shared" si="17"/>
        <v>0</v>
      </c>
      <c r="S337" s="7">
        <f t="shared" si="15"/>
        <v>0</v>
      </c>
      <c r="T337" s="7">
        <f t="shared" si="16"/>
        <v>0</v>
      </c>
    </row>
    <row r="338" spans="8:20" x14ac:dyDescent="0.3">
      <c r="H338" s="12">
        <f t="shared" si="17"/>
        <v>0</v>
      </c>
      <c r="S338" s="7">
        <f t="shared" si="15"/>
        <v>0</v>
      </c>
      <c r="T338" s="7">
        <f t="shared" si="16"/>
        <v>0</v>
      </c>
    </row>
    <row r="339" spans="8:20" x14ac:dyDescent="0.3">
      <c r="H339" s="12">
        <f t="shared" si="17"/>
        <v>0</v>
      </c>
      <c r="S339" s="7">
        <f t="shared" si="15"/>
        <v>0</v>
      </c>
      <c r="T339" s="7">
        <f t="shared" si="16"/>
        <v>0</v>
      </c>
    </row>
    <row r="340" spans="8:20" x14ac:dyDescent="0.3">
      <c r="H340" s="12">
        <f t="shared" si="17"/>
        <v>0</v>
      </c>
      <c r="S340" s="7">
        <f t="shared" si="15"/>
        <v>0</v>
      </c>
      <c r="T340" s="7">
        <f t="shared" si="16"/>
        <v>0</v>
      </c>
    </row>
    <row r="341" spans="8:20" x14ac:dyDescent="0.3">
      <c r="H341" s="12">
        <f t="shared" si="17"/>
        <v>0</v>
      </c>
      <c r="S341" s="7">
        <f t="shared" si="15"/>
        <v>0</v>
      </c>
      <c r="T341" s="7">
        <f t="shared" si="16"/>
        <v>0</v>
      </c>
    </row>
    <row r="342" spans="8:20" x14ac:dyDescent="0.3">
      <c r="H342" s="12">
        <f t="shared" si="17"/>
        <v>0</v>
      </c>
      <c r="S342" s="7">
        <f t="shared" si="15"/>
        <v>0</v>
      </c>
      <c r="T342" s="7">
        <f t="shared" si="16"/>
        <v>0</v>
      </c>
    </row>
    <row r="343" spans="8:20" x14ac:dyDescent="0.3">
      <c r="H343" s="12">
        <f t="shared" si="17"/>
        <v>0</v>
      </c>
      <c r="S343" s="7">
        <f t="shared" si="15"/>
        <v>0</v>
      </c>
      <c r="T343" s="7">
        <f t="shared" si="16"/>
        <v>0</v>
      </c>
    </row>
    <row r="344" spans="8:20" x14ac:dyDescent="0.3">
      <c r="H344" s="12">
        <f t="shared" si="17"/>
        <v>0</v>
      </c>
      <c r="S344" s="7">
        <f t="shared" si="15"/>
        <v>0</v>
      </c>
      <c r="T344" s="7">
        <f t="shared" si="16"/>
        <v>0</v>
      </c>
    </row>
    <row r="345" spans="8:20" x14ac:dyDescent="0.3">
      <c r="H345" s="12">
        <f t="shared" si="17"/>
        <v>0</v>
      </c>
      <c r="S345" s="7">
        <f t="shared" si="15"/>
        <v>0</v>
      </c>
      <c r="T345" s="7">
        <f t="shared" si="16"/>
        <v>0</v>
      </c>
    </row>
    <row r="346" spans="8:20" x14ac:dyDescent="0.3">
      <c r="H346" s="12">
        <f t="shared" si="17"/>
        <v>0</v>
      </c>
      <c r="S346" s="7">
        <f t="shared" si="15"/>
        <v>0</v>
      </c>
      <c r="T346" s="7">
        <f t="shared" si="16"/>
        <v>0</v>
      </c>
    </row>
    <row r="347" spans="8:20" x14ac:dyDescent="0.3">
      <c r="H347" s="12">
        <f t="shared" si="17"/>
        <v>0</v>
      </c>
      <c r="S347" s="7">
        <f t="shared" si="15"/>
        <v>0</v>
      </c>
      <c r="T347" s="7">
        <f t="shared" si="16"/>
        <v>0</v>
      </c>
    </row>
    <row r="348" spans="8:20" x14ac:dyDescent="0.3">
      <c r="H348" s="12">
        <f t="shared" si="17"/>
        <v>0</v>
      </c>
      <c r="S348" s="7">
        <f t="shared" si="15"/>
        <v>0</v>
      </c>
      <c r="T348" s="7">
        <f t="shared" si="16"/>
        <v>0</v>
      </c>
    </row>
    <row r="349" spans="8:20" x14ac:dyDescent="0.3">
      <c r="H349" s="12">
        <f t="shared" si="17"/>
        <v>0</v>
      </c>
      <c r="S349" s="7">
        <f t="shared" si="15"/>
        <v>0</v>
      </c>
      <c r="T349" s="7">
        <f t="shared" si="16"/>
        <v>0</v>
      </c>
    </row>
    <row r="350" spans="8:20" x14ac:dyDescent="0.3">
      <c r="H350" s="12">
        <f t="shared" si="17"/>
        <v>0</v>
      </c>
      <c r="S350" s="7">
        <f t="shared" si="15"/>
        <v>0</v>
      </c>
      <c r="T350" s="7">
        <f t="shared" si="16"/>
        <v>0</v>
      </c>
    </row>
    <row r="351" spans="8:20" x14ac:dyDescent="0.3">
      <c r="H351" s="12">
        <f t="shared" si="17"/>
        <v>0</v>
      </c>
      <c r="S351" s="7">
        <f t="shared" si="15"/>
        <v>0</v>
      </c>
      <c r="T351" s="7">
        <f t="shared" si="16"/>
        <v>0</v>
      </c>
    </row>
    <row r="352" spans="8:20" x14ac:dyDescent="0.3">
      <c r="H352" s="12">
        <f t="shared" si="17"/>
        <v>0</v>
      </c>
      <c r="S352" s="7">
        <f t="shared" si="15"/>
        <v>0</v>
      </c>
      <c r="T352" s="7">
        <f t="shared" si="16"/>
        <v>0</v>
      </c>
    </row>
    <row r="353" spans="8:20" x14ac:dyDescent="0.3">
      <c r="H353" s="12">
        <f t="shared" si="17"/>
        <v>0</v>
      </c>
      <c r="S353" s="7">
        <f t="shared" si="15"/>
        <v>0</v>
      </c>
      <c r="T353" s="7">
        <f t="shared" si="16"/>
        <v>0</v>
      </c>
    </row>
    <row r="354" spans="8:20" x14ac:dyDescent="0.3">
      <c r="H354" s="12">
        <f t="shared" si="17"/>
        <v>0</v>
      </c>
      <c r="S354" s="7">
        <f t="shared" si="15"/>
        <v>0</v>
      </c>
      <c r="T354" s="7">
        <f t="shared" si="16"/>
        <v>0</v>
      </c>
    </row>
    <row r="355" spans="8:20" x14ac:dyDescent="0.3">
      <c r="H355" s="12">
        <f t="shared" si="17"/>
        <v>0</v>
      </c>
      <c r="S355" s="7">
        <f t="shared" si="15"/>
        <v>0</v>
      </c>
      <c r="T355" s="7">
        <f t="shared" si="16"/>
        <v>0</v>
      </c>
    </row>
    <row r="356" spans="8:20" x14ac:dyDescent="0.3">
      <c r="H356" s="12">
        <f t="shared" si="17"/>
        <v>0</v>
      </c>
      <c r="S356" s="7">
        <f t="shared" si="15"/>
        <v>0</v>
      </c>
      <c r="T356" s="7">
        <f t="shared" si="16"/>
        <v>0</v>
      </c>
    </row>
    <row r="357" spans="8:20" x14ac:dyDescent="0.3">
      <c r="H357" s="12">
        <f t="shared" si="17"/>
        <v>0</v>
      </c>
      <c r="S357" s="7">
        <f t="shared" si="15"/>
        <v>0</v>
      </c>
      <c r="T357" s="7">
        <f t="shared" si="16"/>
        <v>0</v>
      </c>
    </row>
    <row r="358" spans="8:20" x14ac:dyDescent="0.3">
      <c r="H358" s="12">
        <f t="shared" si="17"/>
        <v>0</v>
      </c>
      <c r="S358" s="7">
        <f t="shared" si="15"/>
        <v>0</v>
      </c>
      <c r="T358" s="7">
        <f t="shared" si="16"/>
        <v>0</v>
      </c>
    </row>
    <row r="359" spans="8:20" x14ac:dyDescent="0.3">
      <c r="H359" s="12">
        <f t="shared" si="17"/>
        <v>0</v>
      </c>
      <c r="S359" s="7">
        <f t="shared" si="15"/>
        <v>0</v>
      </c>
      <c r="T359" s="7">
        <f t="shared" si="16"/>
        <v>0</v>
      </c>
    </row>
    <row r="360" spans="8:20" x14ac:dyDescent="0.3">
      <c r="H360" s="12">
        <f t="shared" si="17"/>
        <v>0</v>
      </c>
      <c r="S360" s="7">
        <f t="shared" si="15"/>
        <v>0</v>
      </c>
      <c r="T360" s="7">
        <f t="shared" si="16"/>
        <v>0</v>
      </c>
    </row>
    <row r="361" spans="8:20" x14ac:dyDescent="0.3">
      <c r="H361" s="12">
        <f t="shared" si="17"/>
        <v>0</v>
      </c>
      <c r="S361" s="7">
        <f t="shared" si="15"/>
        <v>0</v>
      </c>
      <c r="T361" s="7">
        <f t="shared" si="16"/>
        <v>0</v>
      </c>
    </row>
    <row r="362" spans="8:20" x14ac:dyDescent="0.3">
      <c r="H362" s="12">
        <f t="shared" si="17"/>
        <v>0</v>
      </c>
      <c r="S362" s="7">
        <f t="shared" si="15"/>
        <v>0</v>
      </c>
      <c r="T362" s="7">
        <f t="shared" si="16"/>
        <v>0</v>
      </c>
    </row>
    <row r="363" spans="8:20" x14ac:dyDescent="0.3">
      <c r="H363" s="12">
        <f t="shared" si="17"/>
        <v>0</v>
      </c>
      <c r="S363" s="7">
        <f t="shared" si="15"/>
        <v>0</v>
      </c>
      <c r="T363" s="7">
        <f t="shared" si="16"/>
        <v>0</v>
      </c>
    </row>
    <row r="364" spans="8:20" x14ac:dyDescent="0.3">
      <c r="H364" s="12">
        <f t="shared" si="17"/>
        <v>0</v>
      </c>
      <c r="S364" s="7">
        <f t="shared" si="15"/>
        <v>0</v>
      </c>
      <c r="T364" s="7">
        <f t="shared" si="16"/>
        <v>0</v>
      </c>
    </row>
    <row r="365" spans="8:20" x14ac:dyDescent="0.3">
      <c r="H365" s="12">
        <f t="shared" si="17"/>
        <v>0</v>
      </c>
      <c r="S365" s="7">
        <f t="shared" si="15"/>
        <v>0</v>
      </c>
      <c r="T365" s="7">
        <f t="shared" si="16"/>
        <v>0</v>
      </c>
    </row>
    <row r="366" spans="8:20" x14ac:dyDescent="0.3">
      <c r="H366" s="12">
        <f t="shared" si="17"/>
        <v>0</v>
      </c>
      <c r="S366" s="7">
        <f t="shared" si="15"/>
        <v>0</v>
      </c>
      <c r="T366" s="7">
        <f t="shared" si="16"/>
        <v>0</v>
      </c>
    </row>
    <row r="367" spans="8:20" x14ac:dyDescent="0.3">
      <c r="H367" s="12">
        <f t="shared" si="17"/>
        <v>0</v>
      </c>
      <c r="S367" s="7">
        <f t="shared" si="15"/>
        <v>0</v>
      </c>
      <c r="T367" s="7">
        <f t="shared" si="16"/>
        <v>0</v>
      </c>
    </row>
    <row r="368" spans="8:20" x14ac:dyDescent="0.3">
      <c r="H368" s="12">
        <f t="shared" si="17"/>
        <v>0</v>
      </c>
      <c r="S368" s="7">
        <f t="shared" si="15"/>
        <v>0</v>
      </c>
      <c r="T368" s="7">
        <f t="shared" si="16"/>
        <v>0</v>
      </c>
    </row>
    <row r="369" spans="8:20" x14ac:dyDescent="0.3">
      <c r="H369" s="12">
        <f t="shared" si="17"/>
        <v>0</v>
      </c>
      <c r="S369" s="7">
        <f t="shared" si="15"/>
        <v>0</v>
      </c>
      <c r="T369" s="7">
        <f t="shared" si="16"/>
        <v>0</v>
      </c>
    </row>
    <row r="370" spans="8:20" x14ac:dyDescent="0.3">
      <c r="H370" s="12">
        <f t="shared" si="17"/>
        <v>0</v>
      </c>
      <c r="S370" s="7">
        <f t="shared" si="15"/>
        <v>0</v>
      </c>
      <c r="T370" s="7">
        <f t="shared" si="16"/>
        <v>0</v>
      </c>
    </row>
    <row r="371" spans="8:20" x14ac:dyDescent="0.3">
      <c r="H371" s="12">
        <f t="shared" si="17"/>
        <v>0</v>
      </c>
      <c r="S371" s="7">
        <f t="shared" si="15"/>
        <v>0</v>
      </c>
      <c r="T371" s="7">
        <f t="shared" si="16"/>
        <v>0</v>
      </c>
    </row>
    <row r="372" spans="8:20" x14ac:dyDescent="0.3">
      <c r="H372" s="12">
        <f t="shared" si="17"/>
        <v>0</v>
      </c>
      <c r="S372" s="7">
        <f t="shared" si="15"/>
        <v>0</v>
      </c>
      <c r="T372" s="7">
        <f t="shared" si="16"/>
        <v>0</v>
      </c>
    </row>
    <row r="373" spans="8:20" x14ac:dyDescent="0.3">
      <c r="H373" s="12">
        <f t="shared" si="17"/>
        <v>0</v>
      </c>
      <c r="S373" s="7">
        <f t="shared" si="15"/>
        <v>0</v>
      </c>
      <c r="T373" s="7">
        <f t="shared" si="16"/>
        <v>0</v>
      </c>
    </row>
    <row r="374" spans="8:20" x14ac:dyDescent="0.3">
      <c r="H374" s="12">
        <f t="shared" si="17"/>
        <v>0</v>
      </c>
      <c r="S374" s="7">
        <f t="shared" si="15"/>
        <v>0</v>
      </c>
      <c r="T374" s="7">
        <f t="shared" si="16"/>
        <v>0</v>
      </c>
    </row>
    <row r="375" spans="8:20" x14ac:dyDescent="0.3">
      <c r="H375" s="12">
        <f t="shared" si="17"/>
        <v>0</v>
      </c>
      <c r="S375" s="7">
        <f t="shared" si="15"/>
        <v>0</v>
      </c>
      <c r="T375" s="7">
        <f t="shared" si="16"/>
        <v>0</v>
      </c>
    </row>
    <row r="376" spans="8:20" x14ac:dyDescent="0.3">
      <c r="H376" s="12">
        <f t="shared" si="17"/>
        <v>0</v>
      </c>
      <c r="S376" s="7">
        <f t="shared" si="15"/>
        <v>0</v>
      </c>
      <c r="T376" s="7">
        <f t="shared" si="16"/>
        <v>0</v>
      </c>
    </row>
    <row r="377" spans="8:20" x14ac:dyDescent="0.3">
      <c r="H377" s="12">
        <f t="shared" si="17"/>
        <v>0</v>
      </c>
      <c r="S377" s="7">
        <f t="shared" si="15"/>
        <v>0</v>
      </c>
      <c r="T377" s="7">
        <f t="shared" si="16"/>
        <v>0</v>
      </c>
    </row>
    <row r="378" spans="8:20" x14ac:dyDescent="0.3">
      <c r="H378" s="12">
        <f t="shared" si="17"/>
        <v>0</v>
      </c>
      <c r="S378" s="7">
        <f t="shared" si="15"/>
        <v>0</v>
      </c>
      <c r="T378" s="7">
        <f t="shared" si="16"/>
        <v>0</v>
      </c>
    </row>
    <row r="379" spans="8:20" x14ac:dyDescent="0.3">
      <c r="H379" s="12">
        <f t="shared" si="17"/>
        <v>0</v>
      </c>
      <c r="S379" s="7">
        <f t="shared" si="15"/>
        <v>0</v>
      </c>
      <c r="T379" s="7">
        <f t="shared" si="16"/>
        <v>0</v>
      </c>
    </row>
    <row r="380" spans="8:20" x14ac:dyDescent="0.3">
      <c r="H380" s="12">
        <f t="shared" si="17"/>
        <v>0</v>
      </c>
      <c r="S380" s="7">
        <f t="shared" si="15"/>
        <v>0</v>
      </c>
      <c r="T380" s="7">
        <f t="shared" si="16"/>
        <v>0</v>
      </c>
    </row>
    <row r="381" spans="8:20" x14ac:dyDescent="0.3">
      <c r="H381" s="12">
        <f t="shared" si="17"/>
        <v>0</v>
      </c>
      <c r="S381" s="7">
        <f t="shared" si="15"/>
        <v>0</v>
      </c>
      <c r="T381" s="7">
        <f t="shared" si="16"/>
        <v>0</v>
      </c>
    </row>
    <row r="382" spans="8:20" x14ac:dyDescent="0.3">
      <c r="H382" s="12">
        <f t="shared" si="17"/>
        <v>0</v>
      </c>
      <c r="S382" s="7">
        <f t="shared" si="15"/>
        <v>0</v>
      </c>
      <c r="T382" s="7">
        <f t="shared" si="16"/>
        <v>0</v>
      </c>
    </row>
    <row r="383" spans="8:20" x14ac:dyDescent="0.3">
      <c r="H383" s="12">
        <f t="shared" si="17"/>
        <v>0</v>
      </c>
      <c r="S383" s="7">
        <f t="shared" si="15"/>
        <v>0</v>
      </c>
      <c r="T383" s="7">
        <f t="shared" si="16"/>
        <v>0</v>
      </c>
    </row>
    <row r="384" spans="8:20" x14ac:dyDescent="0.3">
      <c r="H384" s="12">
        <f t="shared" si="17"/>
        <v>0</v>
      </c>
      <c r="S384" s="7">
        <f t="shared" si="15"/>
        <v>0</v>
      </c>
      <c r="T384" s="7">
        <f t="shared" si="16"/>
        <v>0</v>
      </c>
    </row>
    <row r="385" spans="8:20" x14ac:dyDescent="0.3">
      <c r="H385" s="12">
        <f t="shared" si="17"/>
        <v>0</v>
      </c>
      <c r="S385" s="7">
        <f t="shared" si="15"/>
        <v>0</v>
      </c>
      <c r="T385" s="7">
        <f t="shared" si="16"/>
        <v>0</v>
      </c>
    </row>
    <row r="386" spans="8:20" x14ac:dyDescent="0.3">
      <c r="H386" s="12">
        <f t="shared" si="17"/>
        <v>0</v>
      </c>
      <c r="S386" s="7">
        <f t="shared" ref="S386:S449" si="18">SUM(I386:R386)</f>
        <v>0</v>
      </c>
      <c r="T386" s="7">
        <f t="shared" ref="T386:T449" si="19">F386-S386</f>
        <v>0</v>
      </c>
    </row>
    <row r="387" spans="8:20" x14ac:dyDescent="0.3">
      <c r="H387" s="12">
        <f t="shared" si="17"/>
        <v>0</v>
      </c>
      <c r="S387" s="7">
        <f t="shared" si="18"/>
        <v>0</v>
      </c>
      <c r="T387" s="7">
        <f t="shared" si="19"/>
        <v>0</v>
      </c>
    </row>
    <row r="388" spans="8:20" x14ac:dyDescent="0.3">
      <c r="H388" s="12">
        <f t="shared" ref="H388:H451" si="20">F388*G388</f>
        <v>0</v>
      </c>
      <c r="S388" s="7">
        <f t="shared" si="18"/>
        <v>0</v>
      </c>
      <c r="T388" s="7">
        <f t="shared" si="19"/>
        <v>0</v>
      </c>
    </row>
    <row r="389" spans="8:20" x14ac:dyDescent="0.3">
      <c r="H389" s="12">
        <f t="shared" si="20"/>
        <v>0</v>
      </c>
      <c r="S389" s="7">
        <f t="shared" si="18"/>
        <v>0</v>
      </c>
      <c r="T389" s="7">
        <f t="shared" si="19"/>
        <v>0</v>
      </c>
    </row>
    <row r="390" spans="8:20" x14ac:dyDescent="0.3">
      <c r="H390" s="12">
        <f t="shared" si="20"/>
        <v>0</v>
      </c>
      <c r="S390" s="7">
        <f t="shared" si="18"/>
        <v>0</v>
      </c>
      <c r="T390" s="7">
        <f t="shared" si="19"/>
        <v>0</v>
      </c>
    </row>
    <row r="391" spans="8:20" x14ac:dyDescent="0.3">
      <c r="H391" s="12">
        <f t="shared" si="20"/>
        <v>0</v>
      </c>
      <c r="S391" s="7">
        <f t="shared" si="18"/>
        <v>0</v>
      </c>
      <c r="T391" s="7">
        <f t="shared" si="19"/>
        <v>0</v>
      </c>
    </row>
    <row r="392" spans="8:20" x14ac:dyDescent="0.3">
      <c r="H392" s="12">
        <f t="shared" si="20"/>
        <v>0</v>
      </c>
      <c r="S392" s="7">
        <f t="shared" si="18"/>
        <v>0</v>
      </c>
      <c r="T392" s="7">
        <f t="shared" si="19"/>
        <v>0</v>
      </c>
    </row>
    <row r="393" spans="8:20" x14ac:dyDescent="0.3">
      <c r="H393" s="12">
        <f t="shared" si="20"/>
        <v>0</v>
      </c>
      <c r="S393" s="7">
        <f t="shared" si="18"/>
        <v>0</v>
      </c>
      <c r="T393" s="7">
        <f t="shared" si="19"/>
        <v>0</v>
      </c>
    </row>
    <row r="394" spans="8:20" x14ac:dyDescent="0.3">
      <c r="H394" s="12">
        <f t="shared" si="20"/>
        <v>0</v>
      </c>
      <c r="S394" s="7">
        <f t="shared" si="18"/>
        <v>0</v>
      </c>
      <c r="T394" s="7">
        <f t="shared" si="19"/>
        <v>0</v>
      </c>
    </row>
    <row r="395" spans="8:20" x14ac:dyDescent="0.3">
      <c r="H395" s="12">
        <f t="shared" si="20"/>
        <v>0</v>
      </c>
      <c r="S395" s="7">
        <f t="shared" si="18"/>
        <v>0</v>
      </c>
      <c r="T395" s="7">
        <f t="shared" si="19"/>
        <v>0</v>
      </c>
    </row>
    <row r="396" spans="8:20" x14ac:dyDescent="0.3">
      <c r="H396" s="12">
        <f t="shared" si="20"/>
        <v>0</v>
      </c>
      <c r="S396" s="7">
        <f t="shared" si="18"/>
        <v>0</v>
      </c>
      <c r="T396" s="7">
        <f t="shared" si="19"/>
        <v>0</v>
      </c>
    </row>
    <row r="397" spans="8:20" x14ac:dyDescent="0.3">
      <c r="H397" s="12">
        <f t="shared" si="20"/>
        <v>0</v>
      </c>
      <c r="S397" s="7">
        <f t="shared" si="18"/>
        <v>0</v>
      </c>
      <c r="T397" s="7">
        <f t="shared" si="19"/>
        <v>0</v>
      </c>
    </row>
    <row r="398" spans="8:20" x14ac:dyDescent="0.3">
      <c r="H398" s="12">
        <f t="shared" si="20"/>
        <v>0</v>
      </c>
      <c r="S398" s="7">
        <f t="shared" si="18"/>
        <v>0</v>
      </c>
      <c r="T398" s="7">
        <f t="shared" si="19"/>
        <v>0</v>
      </c>
    </row>
    <row r="399" spans="8:20" x14ac:dyDescent="0.3">
      <c r="H399" s="12">
        <f t="shared" si="20"/>
        <v>0</v>
      </c>
      <c r="S399" s="7">
        <f t="shared" si="18"/>
        <v>0</v>
      </c>
      <c r="T399" s="7">
        <f t="shared" si="19"/>
        <v>0</v>
      </c>
    </row>
    <row r="400" spans="8:20" x14ac:dyDescent="0.3">
      <c r="H400" s="12">
        <f t="shared" si="20"/>
        <v>0</v>
      </c>
      <c r="S400" s="7">
        <f t="shared" si="18"/>
        <v>0</v>
      </c>
      <c r="T400" s="7">
        <f t="shared" si="19"/>
        <v>0</v>
      </c>
    </row>
    <row r="401" spans="8:20" x14ac:dyDescent="0.3">
      <c r="H401" s="12">
        <f t="shared" si="20"/>
        <v>0</v>
      </c>
      <c r="S401" s="7">
        <f t="shared" si="18"/>
        <v>0</v>
      </c>
      <c r="T401" s="7">
        <f t="shared" si="19"/>
        <v>0</v>
      </c>
    </row>
    <row r="402" spans="8:20" x14ac:dyDescent="0.3">
      <c r="H402" s="12">
        <f t="shared" si="20"/>
        <v>0</v>
      </c>
      <c r="S402" s="7">
        <f t="shared" si="18"/>
        <v>0</v>
      </c>
      <c r="T402" s="7">
        <f t="shared" si="19"/>
        <v>0</v>
      </c>
    </row>
    <row r="403" spans="8:20" x14ac:dyDescent="0.3">
      <c r="H403" s="12">
        <f t="shared" si="20"/>
        <v>0</v>
      </c>
      <c r="S403" s="7">
        <f t="shared" si="18"/>
        <v>0</v>
      </c>
      <c r="T403" s="7">
        <f t="shared" si="19"/>
        <v>0</v>
      </c>
    </row>
    <row r="404" spans="8:20" x14ac:dyDescent="0.3">
      <c r="H404" s="12">
        <f t="shared" si="20"/>
        <v>0</v>
      </c>
      <c r="S404" s="7">
        <f t="shared" si="18"/>
        <v>0</v>
      </c>
      <c r="T404" s="7">
        <f t="shared" si="19"/>
        <v>0</v>
      </c>
    </row>
    <row r="405" spans="8:20" x14ac:dyDescent="0.3">
      <c r="H405" s="12">
        <f t="shared" si="20"/>
        <v>0</v>
      </c>
      <c r="S405" s="7">
        <f t="shared" si="18"/>
        <v>0</v>
      </c>
      <c r="T405" s="7">
        <f t="shared" si="19"/>
        <v>0</v>
      </c>
    </row>
    <row r="406" spans="8:20" x14ac:dyDescent="0.3">
      <c r="H406" s="12">
        <f t="shared" si="20"/>
        <v>0</v>
      </c>
      <c r="S406" s="7">
        <f t="shared" si="18"/>
        <v>0</v>
      </c>
      <c r="T406" s="7">
        <f t="shared" si="19"/>
        <v>0</v>
      </c>
    </row>
    <row r="407" spans="8:20" x14ac:dyDescent="0.3">
      <c r="H407" s="12">
        <f t="shared" si="20"/>
        <v>0</v>
      </c>
      <c r="S407" s="7">
        <f t="shared" si="18"/>
        <v>0</v>
      </c>
      <c r="T407" s="7">
        <f t="shared" si="19"/>
        <v>0</v>
      </c>
    </row>
    <row r="408" spans="8:20" x14ac:dyDescent="0.3">
      <c r="H408" s="12">
        <f t="shared" si="20"/>
        <v>0</v>
      </c>
      <c r="S408" s="7">
        <f t="shared" si="18"/>
        <v>0</v>
      </c>
      <c r="T408" s="7">
        <f t="shared" si="19"/>
        <v>0</v>
      </c>
    </row>
    <row r="409" spans="8:20" x14ac:dyDescent="0.3">
      <c r="H409" s="12">
        <f t="shared" si="20"/>
        <v>0</v>
      </c>
      <c r="S409" s="7">
        <f t="shared" si="18"/>
        <v>0</v>
      </c>
      <c r="T409" s="7">
        <f t="shared" si="19"/>
        <v>0</v>
      </c>
    </row>
    <row r="410" spans="8:20" x14ac:dyDescent="0.3">
      <c r="H410" s="12">
        <f t="shared" si="20"/>
        <v>0</v>
      </c>
      <c r="S410" s="7">
        <f t="shared" si="18"/>
        <v>0</v>
      </c>
      <c r="T410" s="7">
        <f t="shared" si="19"/>
        <v>0</v>
      </c>
    </row>
    <row r="411" spans="8:20" x14ac:dyDescent="0.3">
      <c r="H411" s="12">
        <f t="shared" si="20"/>
        <v>0</v>
      </c>
      <c r="S411" s="7">
        <f t="shared" si="18"/>
        <v>0</v>
      </c>
      <c r="T411" s="7">
        <f t="shared" si="19"/>
        <v>0</v>
      </c>
    </row>
    <row r="412" spans="8:20" x14ac:dyDescent="0.3">
      <c r="H412" s="12">
        <f t="shared" si="20"/>
        <v>0</v>
      </c>
      <c r="S412" s="7">
        <f t="shared" si="18"/>
        <v>0</v>
      </c>
      <c r="T412" s="7">
        <f t="shared" si="19"/>
        <v>0</v>
      </c>
    </row>
    <row r="413" spans="8:20" x14ac:dyDescent="0.3">
      <c r="H413" s="12">
        <f t="shared" si="20"/>
        <v>0</v>
      </c>
      <c r="S413" s="7">
        <f t="shared" si="18"/>
        <v>0</v>
      </c>
      <c r="T413" s="7">
        <f t="shared" si="19"/>
        <v>0</v>
      </c>
    </row>
    <row r="414" spans="8:20" x14ac:dyDescent="0.3">
      <c r="H414" s="12">
        <f t="shared" si="20"/>
        <v>0</v>
      </c>
      <c r="S414" s="7">
        <f t="shared" si="18"/>
        <v>0</v>
      </c>
      <c r="T414" s="7">
        <f t="shared" si="19"/>
        <v>0</v>
      </c>
    </row>
    <row r="415" spans="8:20" x14ac:dyDescent="0.3">
      <c r="H415" s="12">
        <f t="shared" si="20"/>
        <v>0</v>
      </c>
      <c r="S415" s="7">
        <f t="shared" si="18"/>
        <v>0</v>
      </c>
      <c r="T415" s="7">
        <f t="shared" si="19"/>
        <v>0</v>
      </c>
    </row>
    <row r="416" spans="8:20" x14ac:dyDescent="0.3">
      <c r="H416" s="12">
        <f t="shared" si="20"/>
        <v>0</v>
      </c>
      <c r="S416" s="7">
        <f t="shared" si="18"/>
        <v>0</v>
      </c>
      <c r="T416" s="7">
        <f t="shared" si="19"/>
        <v>0</v>
      </c>
    </row>
    <row r="417" spans="8:20" x14ac:dyDescent="0.3">
      <c r="H417" s="12">
        <f t="shared" si="20"/>
        <v>0</v>
      </c>
      <c r="S417" s="7">
        <f t="shared" si="18"/>
        <v>0</v>
      </c>
      <c r="T417" s="7">
        <f t="shared" si="19"/>
        <v>0</v>
      </c>
    </row>
    <row r="418" spans="8:20" x14ac:dyDescent="0.3">
      <c r="H418" s="12">
        <f t="shared" si="20"/>
        <v>0</v>
      </c>
      <c r="S418" s="7">
        <f t="shared" si="18"/>
        <v>0</v>
      </c>
      <c r="T418" s="7">
        <f t="shared" si="19"/>
        <v>0</v>
      </c>
    </row>
    <row r="419" spans="8:20" x14ac:dyDescent="0.3">
      <c r="H419" s="12">
        <f t="shared" si="20"/>
        <v>0</v>
      </c>
      <c r="S419" s="7">
        <f t="shared" si="18"/>
        <v>0</v>
      </c>
      <c r="T419" s="7">
        <f t="shared" si="19"/>
        <v>0</v>
      </c>
    </row>
    <row r="420" spans="8:20" x14ac:dyDescent="0.3">
      <c r="H420" s="12">
        <f t="shared" si="20"/>
        <v>0</v>
      </c>
      <c r="S420" s="7">
        <f t="shared" si="18"/>
        <v>0</v>
      </c>
      <c r="T420" s="7">
        <f t="shared" si="19"/>
        <v>0</v>
      </c>
    </row>
    <row r="421" spans="8:20" x14ac:dyDescent="0.3">
      <c r="H421" s="12">
        <f t="shared" si="20"/>
        <v>0</v>
      </c>
      <c r="S421" s="7">
        <f t="shared" si="18"/>
        <v>0</v>
      </c>
      <c r="T421" s="7">
        <f t="shared" si="19"/>
        <v>0</v>
      </c>
    </row>
    <row r="422" spans="8:20" x14ac:dyDescent="0.3">
      <c r="H422" s="12">
        <f t="shared" si="20"/>
        <v>0</v>
      </c>
      <c r="S422" s="7">
        <f t="shared" si="18"/>
        <v>0</v>
      </c>
      <c r="T422" s="7">
        <f t="shared" si="19"/>
        <v>0</v>
      </c>
    </row>
    <row r="423" spans="8:20" x14ac:dyDescent="0.3">
      <c r="H423" s="12">
        <f t="shared" si="20"/>
        <v>0</v>
      </c>
      <c r="S423" s="7">
        <f t="shared" si="18"/>
        <v>0</v>
      </c>
      <c r="T423" s="7">
        <f t="shared" si="19"/>
        <v>0</v>
      </c>
    </row>
    <row r="424" spans="8:20" x14ac:dyDescent="0.3">
      <c r="H424" s="12">
        <f t="shared" si="20"/>
        <v>0</v>
      </c>
      <c r="S424" s="7">
        <f t="shared" si="18"/>
        <v>0</v>
      </c>
      <c r="T424" s="7">
        <f t="shared" si="19"/>
        <v>0</v>
      </c>
    </row>
    <row r="425" spans="8:20" x14ac:dyDescent="0.3">
      <c r="H425" s="12">
        <f t="shared" si="20"/>
        <v>0</v>
      </c>
      <c r="S425" s="7">
        <f t="shared" si="18"/>
        <v>0</v>
      </c>
      <c r="T425" s="7">
        <f t="shared" si="19"/>
        <v>0</v>
      </c>
    </row>
    <row r="426" spans="8:20" x14ac:dyDescent="0.3">
      <c r="H426" s="12">
        <f t="shared" si="20"/>
        <v>0</v>
      </c>
      <c r="S426" s="7">
        <f t="shared" si="18"/>
        <v>0</v>
      </c>
      <c r="T426" s="7">
        <f t="shared" si="19"/>
        <v>0</v>
      </c>
    </row>
    <row r="427" spans="8:20" x14ac:dyDescent="0.3">
      <c r="H427" s="12">
        <f t="shared" si="20"/>
        <v>0</v>
      </c>
      <c r="S427" s="7">
        <f t="shared" si="18"/>
        <v>0</v>
      </c>
      <c r="T427" s="7">
        <f t="shared" si="19"/>
        <v>0</v>
      </c>
    </row>
    <row r="428" spans="8:20" x14ac:dyDescent="0.3">
      <c r="H428" s="12">
        <f t="shared" si="20"/>
        <v>0</v>
      </c>
      <c r="S428" s="7">
        <f t="shared" si="18"/>
        <v>0</v>
      </c>
      <c r="T428" s="7">
        <f t="shared" si="19"/>
        <v>0</v>
      </c>
    </row>
    <row r="429" spans="8:20" x14ac:dyDescent="0.3">
      <c r="H429" s="12">
        <f t="shared" si="20"/>
        <v>0</v>
      </c>
      <c r="S429" s="7">
        <f t="shared" si="18"/>
        <v>0</v>
      </c>
      <c r="T429" s="7">
        <f t="shared" si="19"/>
        <v>0</v>
      </c>
    </row>
    <row r="430" spans="8:20" x14ac:dyDescent="0.3">
      <c r="H430" s="12">
        <f t="shared" si="20"/>
        <v>0</v>
      </c>
      <c r="S430" s="7">
        <f t="shared" si="18"/>
        <v>0</v>
      </c>
      <c r="T430" s="7">
        <f t="shared" si="19"/>
        <v>0</v>
      </c>
    </row>
    <row r="431" spans="8:20" x14ac:dyDescent="0.3">
      <c r="H431" s="12">
        <f t="shared" si="20"/>
        <v>0</v>
      </c>
      <c r="S431" s="7">
        <f t="shared" si="18"/>
        <v>0</v>
      </c>
      <c r="T431" s="7">
        <f t="shared" si="19"/>
        <v>0</v>
      </c>
    </row>
    <row r="432" spans="8:20" x14ac:dyDescent="0.3">
      <c r="H432" s="12">
        <f t="shared" si="20"/>
        <v>0</v>
      </c>
      <c r="S432" s="7">
        <f t="shared" si="18"/>
        <v>0</v>
      </c>
      <c r="T432" s="7">
        <f t="shared" si="19"/>
        <v>0</v>
      </c>
    </row>
    <row r="433" spans="8:20" x14ac:dyDescent="0.3">
      <c r="H433" s="12">
        <f t="shared" si="20"/>
        <v>0</v>
      </c>
      <c r="S433" s="7">
        <f t="shared" si="18"/>
        <v>0</v>
      </c>
      <c r="T433" s="7">
        <f t="shared" si="19"/>
        <v>0</v>
      </c>
    </row>
    <row r="434" spans="8:20" x14ac:dyDescent="0.3">
      <c r="H434" s="12">
        <f t="shared" si="20"/>
        <v>0</v>
      </c>
      <c r="S434" s="7">
        <f t="shared" si="18"/>
        <v>0</v>
      </c>
      <c r="T434" s="7">
        <f t="shared" si="19"/>
        <v>0</v>
      </c>
    </row>
    <row r="435" spans="8:20" x14ac:dyDescent="0.3">
      <c r="H435" s="12">
        <f t="shared" si="20"/>
        <v>0</v>
      </c>
      <c r="S435" s="7">
        <f t="shared" si="18"/>
        <v>0</v>
      </c>
      <c r="T435" s="7">
        <f t="shared" si="19"/>
        <v>0</v>
      </c>
    </row>
    <row r="436" spans="8:20" x14ac:dyDescent="0.3">
      <c r="H436" s="12">
        <f t="shared" si="20"/>
        <v>0</v>
      </c>
      <c r="S436" s="7">
        <f t="shared" si="18"/>
        <v>0</v>
      </c>
      <c r="T436" s="7">
        <f t="shared" si="19"/>
        <v>0</v>
      </c>
    </row>
    <row r="437" spans="8:20" x14ac:dyDescent="0.3">
      <c r="H437" s="12">
        <f t="shared" si="20"/>
        <v>0</v>
      </c>
      <c r="S437" s="7">
        <f t="shared" si="18"/>
        <v>0</v>
      </c>
      <c r="T437" s="7">
        <f t="shared" si="19"/>
        <v>0</v>
      </c>
    </row>
    <row r="438" spans="8:20" x14ac:dyDescent="0.3">
      <c r="H438" s="12">
        <f t="shared" si="20"/>
        <v>0</v>
      </c>
      <c r="S438" s="7">
        <f t="shared" si="18"/>
        <v>0</v>
      </c>
      <c r="T438" s="7">
        <f t="shared" si="19"/>
        <v>0</v>
      </c>
    </row>
    <row r="439" spans="8:20" x14ac:dyDescent="0.3">
      <c r="H439" s="12">
        <f t="shared" si="20"/>
        <v>0</v>
      </c>
      <c r="S439" s="7">
        <f t="shared" si="18"/>
        <v>0</v>
      </c>
      <c r="T439" s="7">
        <f t="shared" si="19"/>
        <v>0</v>
      </c>
    </row>
    <row r="440" spans="8:20" x14ac:dyDescent="0.3">
      <c r="H440" s="12">
        <f t="shared" si="20"/>
        <v>0</v>
      </c>
      <c r="S440" s="7">
        <f t="shared" si="18"/>
        <v>0</v>
      </c>
      <c r="T440" s="7">
        <f t="shared" si="19"/>
        <v>0</v>
      </c>
    </row>
    <row r="441" spans="8:20" x14ac:dyDescent="0.3">
      <c r="H441" s="12">
        <f t="shared" si="20"/>
        <v>0</v>
      </c>
      <c r="S441" s="7">
        <f t="shared" si="18"/>
        <v>0</v>
      </c>
      <c r="T441" s="7">
        <f t="shared" si="19"/>
        <v>0</v>
      </c>
    </row>
    <row r="442" spans="8:20" x14ac:dyDescent="0.3">
      <c r="H442" s="12">
        <f t="shared" si="20"/>
        <v>0</v>
      </c>
      <c r="S442" s="7">
        <f t="shared" si="18"/>
        <v>0</v>
      </c>
      <c r="T442" s="7">
        <f t="shared" si="19"/>
        <v>0</v>
      </c>
    </row>
    <row r="443" spans="8:20" x14ac:dyDescent="0.3">
      <c r="H443" s="12">
        <f t="shared" si="20"/>
        <v>0</v>
      </c>
      <c r="S443" s="7">
        <f t="shared" si="18"/>
        <v>0</v>
      </c>
      <c r="T443" s="7">
        <f t="shared" si="19"/>
        <v>0</v>
      </c>
    </row>
    <row r="444" spans="8:20" x14ac:dyDescent="0.3">
      <c r="H444" s="12">
        <f t="shared" si="20"/>
        <v>0</v>
      </c>
      <c r="S444" s="7">
        <f t="shared" si="18"/>
        <v>0</v>
      </c>
      <c r="T444" s="7">
        <f t="shared" si="19"/>
        <v>0</v>
      </c>
    </row>
    <row r="445" spans="8:20" x14ac:dyDescent="0.3">
      <c r="H445" s="12">
        <f t="shared" si="20"/>
        <v>0</v>
      </c>
      <c r="S445" s="7">
        <f t="shared" si="18"/>
        <v>0</v>
      </c>
      <c r="T445" s="7">
        <f t="shared" si="19"/>
        <v>0</v>
      </c>
    </row>
    <row r="446" spans="8:20" x14ac:dyDescent="0.3">
      <c r="H446" s="12">
        <f t="shared" si="20"/>
        <v>0</v>
      </c>
      <c r="S446" s="7">
        <f t="shared" si="18"/>
        <v>0</v>
      </c>
      <c r="T446" s="7">
        <f t="shared" si="19"/>
        <v>0</v>
      </c>
    </row>
    <row r="447" spans="8:20" x14ac:dyDescent="0.3">
      <c r="H447" s="12">
        <f t="shared" si="20"/>
        <v>0</v>
      </c>
      <c r="S447" s="7">
        <f t="shared" si="18"/>
        <v>0</v>
      </c>
      <c r="T447" s="7">
        <f t="shared" si="19"/>
        <v>0</v>
      </c>
    </row>
    <row r="448" spans="8:20" x14ac:dyDescent="0.3">
      <c r="H448" s="12">
        <f t="shared" si="20"/>
        <v>0</v>
      </c>
      <c r="S448" s="7">
        <f t="shared" si="18"/>
        <v>0</v>
      </c>
      <c r="T448" s="7">
        <f t="shared" si="19"/>
        <v>0</v>
      </c>
    </row>
    <row r="449" spans="8:20" x14ac:dyDescent="0.3">
      <c r="H449" s="12">
        <f t="shared" si="20"/>
        <v>0</v>
      </c>
      <c r="S449" s="7">
        <f t="shared" si="18"/>
        <v>0</v>
      </c>
      <c r="T449" s="7">
        <f t="shared" si="19"/>
        <v>0</v>
      </c>
    </row>
    <row r="450" spans="8:20" x14ac:dyDescent="0.3">
      <c r="H450" s="12">
        <f t="shared" si="20"/>
        <v>0</v>
      </c>
      <c r="S450" s="7">
        <f t="shared" ref="S450:S513" si="21">SUM(I450:R450)</f>
        <v>0</v>
      </c>
      <c r="T450" s="7">
        <f t="shared" ref="T450:T513" si="22">F450-S450</f>
        <v>0</v>
      </c>
    </row>
    <row r="451" spans="8:20" x14ac:dyDescent="0.3">
      <c r="H451" s="12">
        <f t="shared" si="20"/>
        <v>0</v>
      </c>
      <c r="S451" s="7">
        <f t="shared" si="21"/>
        <v>0</v>
      </c>
      <c r="T451" s="7">
        <f t="shared" si="22"/>
        <v>0</v>
      </c>
    </row>
    <row r="452" spans="8:20" x14ac:dyDescent="0.3">
      <c r="H452" s="12">
        <f t="shared" ref="H452:H515" si="23">F452*G452</f>
        <v>0</v>
      </c>
      <c r="S452" s="7">
        <f t="shared" si="21"/>
        <v>0</v>
      </c>
      <c r="T452" s="7">
        <f t="shared" si="22"/>
        <v>0</v>
      </c>
    </row>
    <row r="453" spans="8:20" x14ac:dyDescent="0.3">
      <c r="H453" s="12">
        <f t="shared" si="23"/>
        <v>0</v>
      </c>
      <c r="S453" s="7">
        <f t="shared" si="21"/>
        <v>0</v>
      </c>
      <c r="T453" s="7">
        <f t="shared" si="22"/>
        <v>0</v>
      </c>
    </row>
    <row r="454" spans="8:20" x14ac:dyDescent="0.3">
      <c r="H454" s="12">
        <f t="shared" si="23"/>
        <v>0</v>
      </c>
      <c r="S454" s="7">
        <f t="shared" si="21"/>
        <v>0</v>
      </c>
      <c r="T454" s="7">
        <f t="shared" si="22"/>
        <v>0</v>
      </c>
    </row>
    <row r="455" spans="8:20" x14ac:dyDescent="0.3">
      <c r="H455" s="12">
        <f t="shared" si="23"/>
        <v>0</v>
      </c>
      <c r="S455" s="7">
        <f t="shared" si="21"/>
        <v>0</v>
      </c>
      <c r="T455" s="7">
        <f t="shared" si="22"/>
        <v>0</v>
      </c>
    </row>
    <row r="456" spans="8:20" x14ac:dyDescent="0.3">
      <c r="H456" s="12">
        <f t="shared" si="23"/>
        <v>0</v>
      </c>
      <c r="S456" s="7">
        <f t="shared" si="21"/>
        <v>0</v>
      </c>
      <c r="T456" s="7">
        <f t="shared" si="22"/>
        <v>0</v>
      </c>
    </row>
    <row r="457" spans="8:20" x14ac:dyDescent="0.3">
      <c r="H457" s="12">
        <f t="shared" si="23"/>
        <v>0</v>
      </c>
      <c r="S457" s="7">
        <f t="shared" si="21"/>
        <v>0</v>
      </c>
      <c r="T457" s="7">
        <f t="shared" si="22"/>
        <v>0</v>
      </c>
    </row>
    <row r="458" spans="8:20" x14ac:dyDescent="0.3">
      <c r="H458" s="12">
        <f t="shared" si="23"/>
        <v>0</v>
      </c>
      <c r="S458" s="7">
        <f t="shared" si="21"/>
        <v>0</v>
      </c>
      <c r="T458" s="7">
        <f t="shared" si="22"/>
        <v>0</v>
      </c>
    </row>
    <row r="459" spans="8:20" x14ac:dyDescent="0.3">
      <c r="H459" s="12">
        <f t="shared" si="23"/>
        <v>0</v>
      </c>
      <c r="S459" s="7">
        <f t="shared" si="21"/>
        <v>0</v>
      </c>
      <c r="T459" s="7">
        <f t="shared" si="22"/>
        <v>0</v>
      </c>
    </row>
    <row r="460" spans="8:20" x14ac:dyDescent="0.3">
      <c r="H460" s="12">
        <f t="shared" si="23"/>
        <v>0</v>
      </c>
      <c r="S460" s="7">
        <f t="shared" si="21"/>
        <v>0</v>
      </c>
      <c r="T460" s="7">
        <f t="shared" si="22"/>
        <v>0</v>
      </c>
    </row>
    <row r="461" spans="8:20" x14ac:dyDescent="0.3">
      <c r="H461" s="12">
        <f t="shared" si="23"/>
        <v>0</v>
      </c>
      <c r="S461" s="7">
        <f t="shared" si="21"/>
        <v>0</v>
      </c>
      <c r="T461" s="7">
        <f t="shared" si="22"/>
        <v>0</v>
      </c>
    </row>
    <row r="462" spans="8:20" x14ac:dyDescent="0.3">
      <c r="H462" s="12">
        <f t="shared" si="23"/>
        <v>0</v>
      </c>
      <c r="S462" s="7">
        <f t="shared" si="21"/>
        <v>0</v>
      </c>
      <c r="T462" s="7">
        <f t="shared" si="22"/>
        <v>0</v>
      </c>
    </row>
    <row r="463" spans="8:20" x14ac:dyDescent="0.3">
      <c r="H463" s="12">
        <f t="shared" si="23"/>
        <v>0</v>
      </c>
      <c r="S463" s="7">
        <f t="shared" si="21"/>
        <v>0</v>
      </c>
      <c r="T463" s="7">
        <f t="shared" si="22"/>
        <v>0</v>
      </c>
    </row>
    <row r="464" spans="8:20" x14ac:dyDescent="0.3">
      <c r="H464" s="12">
        <f t="shared" si="23"/>
        <v>0</v>
      </c>
      <c r="S464" s="7">
        <f t="shared" si="21"/>
        <v>0</v>
      </c>
      <c r="T464" s="7">
        <f t="shared" si="22"/>
        <v>0</v>
      </c>
    </row>
    <row r="465" spans="8:20" x14ac:dyDescent="0.3">
      <c r="H465" s="12">
        <f t="shared" si="23"/>
        <v>0</v>
      </c>
      <c r="S465" s="7">
        <f t="shared" si="21"/>
        <v>0</v>
      </c>
      <c r="T465" s="7">
        <f t="shared" si="22"/>
        <v>0</v>
      </c>
    </row>
    <row r="466" spans="8:20" x14ac:dyDescent="0.3">
      <c r="H466" s="12">
        <f t="shared" si="23"/>
        <v>0</v>
      </c>
      <c r="S466" s="7">
        <f t="shared" si="21"/>
        <v>0</v>
      </c>
      <c r="T466" s="7">
        <f t="shared" si="22"/>
        <v>0</v>
      </c>
    </row>
    <row r="467" spans="8:20" x14ac:dyDescent="0.3">
      <c r="H467" s="12">
        <f t="shared" si="23"/>
        <v>0</v>
      </c>
      <c r="S467" s="7">
        <f t="shared" si="21"/>
        <v>0</v>
      </c>
      <c r="T467" s="7">
        <f t="shared" si="22"/>
        <v>0</v>
      </c>
    </row>
    <row r="468" spans="8:20" x14ac:dyDescent="0.3">
      <c r="H468" s="12">
        <f t="shared" si="23"/>
        <v>0</v>
      </c>
      <c r="S468" s="7">
        <f t="shared" si="21"/>
        <v>0</v>
      </c>
      <c r="T468" s="7">
        <f t="shared" si="22"/>
        <v>0</v>
      </c>
    </row>
    <row r="469" spans="8:20" x14ac:dyDescent="0.3">
      <c r="H469" s="12">
        <f t="shared" si="23"/>
        <v>0</v>
      </c>
      <c r="S469" s="7">
        <f t="shared" si="21"/>
        <v>0</v>
      </c>
      <c r="T469" s="7">
        <f t="shared" si="22"/>
        <v>0</v>
      </c>
    </row>
    <row r="470" spans="8:20" x14ac:dyDescent="0.3">
      <c r="H470" s="12">
        <f t="shared" si="23"/>
        <v>0</v>
      </c>
      <c r="S470" s="7">
        <f t="shared" si="21"/>
        <v>0</v>
      </c>
      <c r="T470" s="7">
        <f t="shared" si="22"/>
        <v>0</v>
      </c>
    </row>
    <row r="471" spans="8:20" x14ac:dyDescent="0.3">
      <c r="H471" s="12">
        <f t="shared" si="23"/>
        <v>0</v>
      </c>
      <c r="S471" s="7">
        <f t="shared" si="21"/>
        <v>0</v>
      </c>
      <c r="T471" s="7">
        <f t="shared" si="22"/>
        <v>0</v>
      </c>
    </row>
    <row r="472" spans="8:20" x14ac:dyDescent="0.3">
      <c r="H472" s="12">
        <f t="shared" si="23"/>
        <v>0</v>
      </c>
      <c r="S472" s="7">
        <f t="shared" si="21"/>
        <v>0</v>
      </c>
      <c r="T472" s="7">
        <f t="shared" si="22"/>
        <v>0</v>
      </c>
    </row>
    <row r="473" spans="8:20" x14ac:dyDescent="0.3">
      <c r="H473" s="12">
        <f t="shared" si="23"/>
        <v>0</v>
      </c>
      <c r="S473" s="7">
        <f t="shared" si="21"/>
        <v>0</v>
      </c>
      <c r="T473" s="7">
        <f t="shared" si="22"/>
        <v>0</v>
      </c>
    </row>
    <row r="474" spans="8:20" x14ac:dyDescent="0.3">
      <c r="H474" s="12">
        <f t="shared" si="23"/>
        <v>0</v>
      </c>
      <c r="S474" s="7">
        <f t="shared" si="21"/>
        <v>0</v>
      </c>
      <c r="T474" s="7">
        <f t="shared" si="22"/>
        <v>0</v>
      </c>
    </row>
    <row r="475" spans="8:20" x14ac:dyDescent="0.3">
      <c r="H475" s="12">
        <f t="shared" si="23"/>
        <v>0</v>
      </c>
      <c r="S475" s="7">
        <f t="shared" si="21"/>
        <v>0</v>
      </c>
      <c r="T475" s="7">
        <f t="shared" si="22"/>
        <v>0</v>
      </c>
    </row>
    <row r="476" spans="8:20" x14ac:dyDescent="0.3">
      <c r="H476" s="12">
        <f t="shared" si="23"/>
        <v>0</v>
      </c>
      <c r="S476" s="7">
        <f t="shared" si="21"/>
        <v>0</v>
      </c>
      <c r="T476" s="7">
        <f t="shared" si="22"/>
        <v>0</v>
      </c>
    </row>
    <row r="477" spans="8:20" x14ac:dyDescent="0.3">
      <c r="H477" s="12">
        <f t="shared" si="23"/>
        <v>0</v>
      </c>
      <c r="S477" s="7">
        <f t="shared" si="21"/>
        <v>0</v>
      </c>
      <c r="T477" s="7">
        <f t="shared" si="22"/>
        <v>0</v>
      </c>
    </row>
    <row r="478" spans="8:20" x14ac:dyDescent="0.3">
      <c r="H478" s="12">
        <f t="shared" si="23"/>
        <v>0</v>
      </c>
      <c r="S478" s="7">
        <f t="shared" si="21"/>
        <v>0</v>
      </c>
      <c r="T478" s="7">
        <f t="shared" si="22"/>
        <v>0</v>
      </c>
    </row>
    <row r="479" spans="8:20" x14ac:dyDescent="0.3">
      <c r="H479" s="12">
        <f t="shared" si="23"/>
        <v>0</v>
      </c>
      <c r="S479" s="7">
        <f t="shared" si="21"/>
        <v>0</v>
      </c>
      <c r="T479" s="7">
        <f t="shared" si="22"/>
        <v>0</v>
      </c>
    </row>
    <row r="480" spans="8:20" x14ac:dyDescent="0.3">
      <c r="H480" s="12">
        <f t="shared" si="23"/>
        <v>0</v>
      </c>
      <c r="S480" s="7">
        <f t="shared" si="21"/>
        <v>0</v>
      </c>
      <c r="T480" s="7">
        <f t="shared" si="22"/>
        <v>0</v>
      </c>
    </row>
    <row r="481" spans="8:20" x14ac:dyDescent="0.3">
      <c r="H481" s="12">
        <f t="shared" si="23"/>
        <v>0</v>
      </c>
      <c r="S481" s="7">
        <f t="shared" si="21"/>
        <v>0</v>
      </c>
      <c r="T481" s="7">
        <f t="shared" si="22"/>
        <v>0</v>
      </c>
    </row>
    <row r="482" spans="8:20" x14ac:dyDescent="0.3">
      <c r="H482" s="12">
        <f t="shared" si="23"/>
        <v>0</v>
      </c>
      <c r="S482" s="7">
        <f t="shared" si="21"/>
        <v>0</v>
      </c>
      <c r="T482" s="7">
        <f t="shared" si="22"/>
        <v>0</v>
      </c>
    </row>
    <row r="483" spans="8:20" x14ac:dyDescent="0.3">
      <c r="H483" s="12">
        <f t="shared" si="23"/>
        <v>0</v>
      </c>
      <c r="S483" s="7">
        <f t="shared" si="21"/>
        <v>0</v>
      </c>
      <c r="T483" s="7">
        <f t="shared" si="22"/>
        <v>0</v>
      </c>
    </row>
    <row r="484" spans="8:20" x14ac:dyDescent="0.3">
      <c r="H484" s="12">
        <f t="shared" si="23"/>
        <v>0</v>
      </c>
      <c r="S484" s="7">
        <f t="shared" si="21"/>
        <v>0</v>
      </c>
      <c r="T484" s="7">
        <f t="shared" si="22"/>
        <v>0</v>
      </c>
    </row>
    <row r="485" spans="8:20" x14ac:dyDescent="0.3">
      <c r="H485" s="12">
        <f t="shared" si="23"/>
        <v>0</v>
      </c>
      <c r="S485" s="7">
        <f t="shared" si="21"/>
        <v>0</v>
      </c>
      <c r="T485" s="7">
        <f t="shared" si="22"/>
        <v>0</v>
      </c>
    </row>
    <row r="486" spans="8:20" x14ac:dyDescent="0.3">
      <c r="H486" s="12">
        <f t="shared" si="23"/>
        <v>0</v>
      </c>
      <c r="S486" s="7">
        <f t="shared" si="21"/>
        <v>0</v>
      </c>
      <c r="T486" s="7">
        <f t="shared" si="22"/>
        <v>0</v>
      </c>
    </row>
    <row r="487" spans="8:20" x14ac:dyDescent="0.3">
      <c r="H487" s="12">
        <f t="shared" si="23"/>
        <v>0</v>
      </c>
      <c r="S487" s="7">
        <f t="shared" si="21"/>
        <v>0</v>
      </c>
      <c r="T487" s="7">
        <f t="shared" si="22"/>
        <v>0</v>
      </c>
    </row>
    <row r="488" spans="8:20" x14ac:dyDescent="0.3">
      <c r="H488" s="12">
        <f t="shared" si="23"/>
        <v>0</v>
      </c>
      <c r="S488" s="7">
        <f t="shared" si="21"/>
        <v>0</v>
      </c>
      <c r="T488" s="7">
        <f t="shared" si="22"/>
        <v>0</v>
      </c>
    </row>
    <row r="489" spans="8:20" x14ac:dyDescent="0.3">
      <c r="H489" s="12">
        <f t="shared" si="23"/>
        <v>0</v>
      </c>
      <c r="S489" s="7">
        <f t="shared" si="21"/>
        <v>0</v>
      </c>
      <c r="T489" s="7">
        <f t="shared" si="22"/>
        <v>0</v>
      </c>
    </row>
    <row r="490" spans="8:20" x14ac:dyDescent="0.3">
      <c r="H490" s="12">
        <f t="shared" si="23"/>
        <v>0</v>
      </c>
      <c r="S490" s="7">
        <f t="shared" si="21"/>
        <v>0</v>
      </c>
      <c r="T490" s="7">
        <f t="shared" si="22"/>
        <v>0</v>
      </c>
    </row>
    <row r="491" spans="8:20" x14ac:dyDescent="0.3">
      <c r="H491" s="12">
        <f t="shared" si="23"/>
        <v>0</v>
      </c>
      <c r="S491" s="7">
        <f t="shared" si="21"/>
        <v>0</v>
      </c>
      <c r="T491" s="7">
        <f t="shared" si="22"/>
        <v>0</v>
      </c>
    </row>
    <row r="492" spans="8:20" x14ac:dyDescent="0.3">
      <c r="H492" s="12">
        <f t="shared" si="23"/>
        <v>0</v>
      </c>
      <c r="S492" s="7">
        <f t="shared" si="21"/>
        <v>0</v>
      </c>
      <c r="T492" s="7">
        <f t="shared" si="22"/>
        <v>0</v>
      </c>
    </row>
    <row r="493" spans="8:20" x14ac:dyDescent="0.3">
      <c r="H493" s="12">
        <f t="shared" si="23"/>
        <v>0</v>
      </c>
      <c r="S493" s="7">
        <f t="shared" si="21"/>
        <v>0</v>
      </c>
      <c r="T493" s="7">
        <f t="shared" si="22"/>
        <v>0</v>
      </c>
    </row>
    <row r="494" spans="8:20" x14ac:dyDescent="0.3">
      <c r="H494" s="12">
        <f t="shared" si="23"/>
        <v>0</v>
      </c>
      <c r="S494" s="7">
        <f t="shared" si="21"/>
        <v>0</v>
      </c>
      <c r="T494" s="7">
        <f t="shared" si="22"/>
        <v>0</v>
      </c>
    </row>
    <row r="495" spans="8:20" x14ac:dyDescent="0.3">
      <c r="H495" s="12">
        <f t="shared" si="23"/>
        <v>0</v>
      </c>
      <c r="S495" s="7">
        <f t="shared" si="21"/>
        <v>0</v>
      </c>
      <c r="T495" s="7">
        <f t="shared" si="22"/>
        <v>0</v>
      </c>
    </row>
    <row r="496" spans="8:20" x14ac:dyDescent="0.3">
      <c r="H496" s="12">
        <f t="shared" si="23"/>
        <v>0</v>
      </c>
      <c r="S496" s="7">
        <f t="shared" si="21"/>
        <v>0</v>
      </c>
      <c r="T496" s="7">
        <f t="shared" si="22"/>
        <v>0</v>
      </c>
    </row>
    <row r="497" spans="8:20" x14ac:dyDescent="0.3">
      <c r="H497" s="12">
        <f t="shared" si="23"/>
        <v>0</v>
      </c>
      <c r="S497" s="7">
        <f t="shared" si="21"/>
        <v>0</v>
      </c>
      <c r="T497" s="7">
        <f t="shared" si="22"/>
        <v>0</v>
      </c>
    </row>
    <row r="498" spans="8:20" x14ac:dyDescent="0.3">
      <c r="H498" s="12">
        <f t="shared" si="23"/>
        <v>0</v>
      </c>
      <c r="S498" s="7">
        <f t="shared" si="21"/>
        <v>0</v>
      </c>
      <c r="T498" s="7">
        <f t="shared" si="22"/>
        <v>0</v>
      </c>
    </row>
    <row r="499" spans="8:20" x14ac:dyDescent="0.3">
      <c r="H499" s="12">
        <f t="shared" si="23"/>
        <v>0</v>
      </c>
      <c r="S499" s="7">
        <f t="shared" si="21"/>
        <v>0</v>
      </c>
      <c r="T499" s="7">
        <f t="shared" si="22"/>
        <v>0</v>
      </c>
    </row>
    <row r="500" spans="8:20" x14ac:dyDescent="0.3">
      <c r="H500" s="12">
        <f t="shared" si="23"/>
        <v>0</v>
      </c>
      <c r="S500" s="7">
        <f t="shared" si="21"/>
        <v>0</v>
      </c>
      <c r="T500" s="7">
        <f t="shared" si="22"/>
        <v>0</v>
      </c>
    </row>
    <row r="501" spans="8:20" x14ac:dyDescent="0.3">
      <c r="H501" s="12">
        <f t="shared" si="23"/>
        <v>0</v>
      </c>
      <c r="S501" s="7">
        <f t="shared" si="21"/>
        <v>0</v>
      </c>
      <c r="T501" s="7">
        <f t="shared" si="22"/>
        <v>0</v>
      </c>
    </row>
    <row r="502" spans="8:20" x14ac:dyDescent="0.3">
      <c r="H502" s="12">
        <f t="shared" si="23"/>
        <v>0</v>
      </c>
      <c r="S502" s="7">
        <f t="shared" si="21"/>
        <v>0</v>
      </c>
      <c r="T502" s="7">
        <f t="shared" si="22"/>
        <v>0</v>
      </c>
    </row>
    <row r="503" spans="8:20" x14ac:dyDescent="0.3">
      <c r="H503" s="12">
        <f t="shared" si="23"/>
        <v>0</v>
      </c>
      <c r="S503" s="7">
        <f t="shared" si="21"/>
        <v>0</v>
      </c>
      <c r="T503" s="7">
        <f t="shared" si="22"/>
        <v>0</v>
      </c>
    </row>
    <row r="504" spans="8:20" x14ac:dyDescent="0.3">
      <c r="H504" s="12">
        <f t="shared" si="23"/>
        <v>0</v>
      </c>
      <c r="S504" s="7">
        <f t="shared" si="21"/>
        <v>0</v>
      </c>
      <c r="T504" s="7">
        <f t="shared" si="22"/>
        <v>0</v>
      </c>
    </row>
    <row r="505" spans="8:20" x14ac:dyDescent="0.3">
      <c r="H505" s="12">
        <f t="shared" si="23"/>
        <v>0</v>
      </c>
      <c r="S505" s="7">
        <f t="shared" si="21"/>
        <v>0</v>
      </c>
      <c r="T505" s="7">
        <f t="shared" si="22"/>
        <v>0</v>
      </c>
    </row>
    <row r="506" spans="8:20" x14ac:dyDescent="0.3">
      <c r="H506" s="12">
        <f t="shared" si="23"/>
        <v>0</v>
      </c>
      <c r="S506" s="7">
        <f t="shared" si="21"/>
        <v>0</v>
      </c>
      <c r="T506" s="7">
        <f t="shared" si="22"/>
        <v>0</v>
      </c>
    </row>
    <row r="507" spans="8:20" x14ac:dyDescent="0.3">
      <c r="H507" s="12">
        <f t="shared" si="23"/>
        <v>0</v>
      </c>
      <c r="S507" s="7">
        <f t="shared" si="21"/>
        <v>0</v>
      </c>
      <c r="T507" s="7">
        <f t="shared" si="22"/>
        <v>0</v>
      </c>
    </row>
    <row r="508" spans="8:20" x14ac:dyDescent="0.3">
      <c r="H508" s="12">
        <f t="shared" si="23"/>
        <v>0</v>
      </c>
      <c r="S508" s="7">
        <f t="shared" si="21"/>
        <v>0</v>
      </c>
      <c r="T508" s="7">
        <f t="shared" si="22"/>
        <v>0</v>
      </c>
    </row>
    <row r="509" spans="8:20" x14ac:dyDescent="0.3">
      <c r="H509" s="12">
        <f t="shared" si="23"/>
        <v>0</v>
      </c>
      <c r="S509" s="7">
        <f t="shared" si="21"/>
        <v>0</v>
      </c>
      <c r="T509" s="7">
        <f t="shared" si="22"/>
        <v>0</v>
      </c>
    </row>
    <row r="510" spans="8:20" x14ac:dyDescent="0.3">
      <c r="H510" s="12">
        <f t="shared" si="23"/>
        <v>0</v>
      </c>
      <c r="S510" s="7">
        <f t="shared" si="21"/>
        <v>0</v>
      </c>
      <c r="T510" s="7">
        <f t="shared" si="22"/>
        <v>0</v>
      </c>
    </row>
    <row r="511" spans="8:20" x14ac:dyDescent="0.3">
      <c r="H511" s="12">
        <f t="shared" si="23"/>
        <v>0</v>
      </c>
      <c r="S511" s="7">
        <f t="shared" si="21"/>
        <v>0</v>
      </c>
      <c r="T511" s="7">
        <f t="shared" si="22"/>
        <v>0</v>
      </c>
    </row>
    <row r="512" spans="8:20" x14ac:dyDescent="0.3">
      <c r="H512" s="12">
        <f t="shared" si="23"/>
        <v>0</v>
      </c>
      <c r="S512" s="7">
        <f t="shared" si="21"/>
        <v>0</v>
      </c>
      <c r="T512" s="7">
        <f t="shared" si="22"/>
        <v>0</v>
      </c>
    </row>
    <row r="513" spans="8:20" x14ac:dyDescent="0.3">
      <c r="H513" s="12">
        <f t="shared" si="23"/>
        <v>0</v>
      </c>
      <c r="S513" s="7">
        <f t="shared" si="21"/>
        <v>0</v>
      </c>
      <c r="T513" s="7">
        <f t="shared" si="22"/>
        <v>0</v>
      </c>
    </row>
    <row r="514" spans="8:20" x14ac:dyDescent="0.3">
      <c r="H514" s="12">
        <f t="shared" si="23"/>
        <v>0</v>
      </c>
      <c r="S514" s="7">
        <f t="shared" ref="S514:S551" si="24">SUM(I514:R514)</f>
        <v>0</v>
      </c>
      <c r="T514" s="7">
        <f t="shared" ref="T514:T551" si="25">F514-S514</f>
        <v>0</v>
      </c>
    </row>
    <row r="515" spans="8:20" x14ac:dyDescent="0.3">
      <c r="H515" s="12">
        <f t="shared" si="23"/>
        <v>0</v>
      </c>
      <c r="S515" s="7">
        <f t="shared" si="24"/>
        <v>0</v>
      </c>
      <c r="T515" s="7">
        <f t="shared" si="25"/>
        <v>0</v>
      </c>
    </row>
    <row r="516" spans="8:20" x14ac:dyDescent="0.3">
      <c r="H516" s="12">
        <f t="shared" ref="H516:H551" si="26">F516*G516</f>
        <v>0</v>
      </c>
      <c r="S516" s="7">
        <f t="shared" si="24"/>
        <v>0</v>
      </c>
      <c r="T516" s="7">
        <f t="shared" si="25"/>
        <v>0</v>
      </c>
    </row>
    <row r="517" spans="8:20" x14ac:dyDescent="0.3">
      <c r="H517" s="12">
        <f t="shared" si="26"/>
        <v>0</v>
      </c>
      <c r="S517" s="7">
        <f t="shared" si="24"/>
        <v>0</v>
      </c>
      <c r="T517" s="7">
        <f t="shared" si="25"/>
        <v>0</v>
      </c>
    </row>
    <row r="518" spans="8:20" x14ac:dyDescent="0.3">
      <c r="H518" s="12">
        <f t="shared" si="26"/>
        <v>0</v>
      </c>
      <c r="S518" s="7">
        <f t="shared" si="24"/>
        <v>0</v>
      </c>
      <c r="T518" s="7">
        <f t="shared" si="25"/>
        <v>0</v>
      </c>
    </row>
    <row r="519" spans="8:20" x14ac:dyDescent="0.3">
      <c r="H519" s="12">
        <f t="shared" si="26"/>
        <v>0</v>
      </c>
      <c r="S519" s="7">
        <f t="shared" si="24"/>
        <v>0</v>
      </c>
      <c r="T519" s="7">
        <f t="shared" si="25"/>
        <v>0</v>
      </c>
    </row>
    <row r="520" spans="8:20" x14ac:dyDescent="0.3">
      <c r="H520" s="12">
        <f t="shared" si="26"/>
        <v>0</v>
      </c>
      <c r="S520" s="7">
        <f t="shared" si="24"/>
        <v>0</v>
      </c>
      <c r="T520" s="7">
        <f t="shared" si="25"/>
        <v>0</v>
      </c>
    </row>
    <row r="521" spans="8:20" x14ac:dyDescent="0.3">
      <c r="H521" s="12">
        <f t="shared" si="26"/>
        <v>0</v>
      </c>
      <c r="S521" s="7">
        <f t="shared" si="24"/>
        <v>0</v>
      </c>
      <c r="T521" s="7">
        <f t="shared" si="25"/>
        <v>0</v>
      </c>
    </row>
    <row r="522" spans="8:20" x14ac:dyDescent="0.3">
      <c r="H522" s="12">
        <f t="shared" si="26"/>
        <v>0</v>
      </c>
      <c r="S522" s="7">
        <f t="shared" si="24"/>
        <v>0</v>
      </c>
      <c r="T522" s="7">
        <f t="shared" si="25"/>
        <v>0</v>
      </c>
    </row>
    <row r="523" spans="8:20" x14ac:dyDescent="0.3">
      <c r="H523" s="12">
        <f t="shared" si="26"/>
        <v>0</v>
      </c>
      <c r="S523" s="7">
        <f t="shared" si="24"/>
        <v>0</v>
      </c>
      <c r="T523" s="7">
        <f t="shared" si="25"/>
        <v>0</v>
      </c>
    </row>
    <row r="524" spans="8:20" x14ac:dyDescent="0.3">
      <c r="H524" s="12">
        <f t="shared" si="26"/>
        <v>0</v>
      </c>
      <c r="S524" s="7">
        <f t="shared" si="24"/>
        <v>0</v>
      </c>
      <c r="T524" s="7">
        <f t="shared" si="25"/>
        <v>0</v>
      </c>
    </row>
    <row r="525" spans="8:20" x14ac:dyDescent="0.3">
      <c r="H525" s="12">
        <f t="shared" si="26"/>
        <v>0</v>
      </c>
      <c r="S525" s="7">
        <f t="shared" si="24"/>
        <v>0</v>
      </c>
      <c r="T525" s="7">
        <f t="shared" si="25"/>
        <v>0</v>
      </c>
    </row>
    <row r="526" spans="8:20" x14ac:dyDescent="0.3">
      <c r="H526" s="12">
        <f t="shared" si="26"/>
        <v>0</v>
      </c>
      <c r="S526" s="7">
        <f t="shared" si="24"/>
        <v>0</v>
      </c>
      <c r="T526" s="7">
        <f t="shared" si="25"/>
        <v>0</v>
      </c>
    </row>
    <row r="527" spans="8:20" x14ac:dyDescent="0.3">
      <c r="H527" s="12">
        <f t="shared" si="26"/>
        <v>0</v>
      </c>
      <c r="S527" s="7">
        <f t="shared" si="24"/>
        <v>0</v>
      </c>
      <c r="T527" s="7">
        <f t="shared" si="25"/>
        <v>0</v>
      </c>
    </row>
    <row r="528" spans="8:20" x14ac:dyDescent="0.3">
      <c r="H528" s="12">
        <f t="shared" si="26"/>
        <v>0</v>
      </c>
      <c r="S528" s="7">
        <f t="shared" si="24"/>
        <v>0</v>
      </c>
      <c r="T528" s="7">
        <f t="shared" si="25"/>
        <v>0</v>
      </c>
    </row>
    <row r="529" spans="8:20" x14ac:dyDescent="0.3">
      <c r="H529" s="12">
        <f t="shared" si="26"/>
        <v>0</v>
      </c>
      <c r="S529" s="7">
        <f t="shared" si="24"/>
        <v>0</v>
      </c>
      <c r="T529" s="7">
        <f t="shared" si="25"/>
        <v>0</v>
      </c>
    </row>
    <row r="530" spans="8:20" x14ac:dyDescent="0.3">
      <c r="H530" s="12">
        <f t="shared" si="26"/>
        <v>0</v>
      </c>
      <c r="S530" s="7">
        <f t="shared" si="24"/>
        <v>0</v>
      </c>
      <c r="T530" s="7">
        <f t="shared" si="25"/>
        <v>0</v>
      </c>
    </row>
    <row r="531" spans="8:20" x14ac:dyDescent="0.3">
      <c r="H531" s="12">
        <f t="shared" si="26"/>
        <v>0</v>
      </c>
      <c r="S531" s="7">
        <f t="shared" si="24"/>
        <v>0</v>
      </c>
      <c r="T531" s="7">
        <f t="shared" si="25"/>
        <v>0</v>
      </c>
    </row>
    <row r="532" spans="8:20" x14ac:dyDescent="0.3">
      <c r="H532" s="12">
        <f t="shared" si="26"/>
        <v>0</v>
      </c>
      <c r="S532" s="7">
        <f t="shared" si="24"/>
        <v>0</v>
      </c>
      <c r="T532" s="7">
        <f t="shared" si="25"/>
        <v>0</v>
      </c>
    </row>
    <row r="533" spans="8:20" x14ac:dyDescent="0.3">
      <c r="H533" s="12">
        <f t="shared" si="26"/>
        <v>0</v>
      </c>
      <c r="S533" s="7">
        <f t="shared" si="24"/>
        <v>0</v>
      </c>
      <c r="T533" s="7">
        <f t="shared" si="25"/>
        <v>0</v>
      </c>
    </row>
    <row r="534" spans="8:20" x14ac:dyDescent="0.3">
      <c r="H534" s="12">
        <f t="shared" si="26"/>
        <v>0</v>
      </c>
      <c r="S534" s="7">
        <f t="shared" si="24"/>
        <v>0</v>
      </c>
      <c r="T534" s="7">
        <f t="shared" si="25"/>
        <v>0</v>
      </c>
    </row>
    <row r="535" spans="8:20" x14ac:dyDescent="0.3">
      <c r="H535" s="12">
        <f t="shared" si="26"/>
        <v>0</v>
      </c>
      <c r="S535" s="7">
        <f t="shared" si="24"/>
        <v>0</v>
      </c>
      <c r="T535" s="7">
        <f t="shared" si="25"/>
        <v>0</v>
      </c>
    </row>
    <row r="536" spans="8:20" x14ac:dyDescent="0.3">
      <c r="H536" s="12">
        <f t="shared" si="26"/>
        <v>0</v>
      </c>
      <c r="S536" s="7">
        <f t="shared" si="24"/>
        <v>0</v>
      </c>
      <c r="T536" s="7">
        <f t="shared" si="25"/>
        <v>0</v>
      </c>
    </row>
    <row r="537" spans="8:20" x14ac:dyDescent="0.3">
      <c r="H537" s="12">
        <f t="shared" si="26"/>
        <v>0</v>
      </c>
      <c r="S537" s="7">
        <f t="shared" si="24"/>
        <v>0</v>
      </c>
      <c r="T537" s="7">
        <f t="shared" si="25"/>
        <v>0</v>
      </c>
    </row>
    <row r="538" spans="8:20" x14ac:dyDescent="0.3">
      <c r="H538" s="12">
        <f t="shared" si="26"/>
        <v>0</v>
      </c>
      <c r="S538" s="7">
        <f t="shared" si="24"/>
        <v>0</v>
      </c>
      <c r="T538" s="7">
        <f t="shared" si="25"/>
        <v>0</v>
      </c>
    </row>
    <row r="539" spans="8:20" x14ac:dyDescent="0.3">
      <c r="H539" s="12">
        <f t="shared" si="26"/>
        <v>0</v>
      </c>
      <c r="S539" s="7">
        <f t="shared" si="24"/>
        <v>0</v>
      </c>
      <c r="T539" s="7">
        <f t="shared" si="25"/>
        <v>0</v>
      </c>
    </row>
    <row r="540" spans="8:20" x14ac:dyDescent="0.3">
      <c r="H540" s="12">
        <f t="shared" si="26"/>
        <v>0</v>
      </c>
      <c r="S540" s="7">
        <f t="shared" si="24"/>
        <v>0</v>
      </c>
      <c r="T540" s="7">
        <f t="shared" si="25"/>
        <v>0</v>
      </c>
    </row>
    <row r="541" spans="8:20" x14ac:dyDescent="0.3">
      <c r="H541" s="12">
        <f t="shared" si="26"/>
        <v>0</v>
      </c>
      <c r="S541" s="7">
        <f t="shared" si="24"/>
        <v>0</v>
      </c>
      <c r="T541" s="7">
        <f t="shared" si="25"/>
        <v>0</v>
      </c>
    </row>
    <row r="542" spans="8:20" x14ac:dyDescent="0.3">
      <c r="H542" s="12">
        <f t="shared" si="26"/>
        <v>0</v>
      </c>
      <c r="S542" s="7">
        <f t="shared" si="24"/>
        <v>0</v>
      </c>
      <c r="T542" s="7">
        <f t="shared" si="25"/>
        <v>0</v>
      </c>
    </row>
    <row r="543" spans="8:20" x14ac:dyDescent="0.3">
      <c r="H543" s="12">
        <f t="shared" si="26"/>
        <v>0</v>
      </c>
      <c r="S543" s="7">
        <f t="shared" si="24"/>
        <v>0</v>
      </c>
      <c r="T543" s="7">
        <f t="shared" si="25"/>
        <v>0</v>
      </c>
    </row>
    <row r="544" spans="8:20" x14ac:dyDescent="0.3">
      <c r="H544" s="12">
        <f t="shared" si="26"/>
        <v>0</v>
      </c>
      <c r="S544" s="7">
        <f t="shared" si="24"/>
        <v>0</v>
      </c>
      <c r="T544" s="7">
        <f t="shared" si="25"/>
        <v>0</v>
      </c>
    </row>
    <row r="545" spans="8:20" x14ac:dyDescent="0.3">
      <c r="H545" s="12">
        <f t="shared" si="26"/>
        <v>0</v>
      </c>
      <c r="S545" s="7">
        <f t="shared" si="24"/>
        <v>0</v>
      </c>
      <c r="T545" s="7">
        <f t="shared" si="25"/>
        <v>0</v>
      </c>
    </row>
    <row r="546" spans="8:20" x14ac:dyDescent="0.3">
      <c r="H546" s="12">
        <f t="shared" si="26"/>
        <v>0</v>
      </c>
      <c r="S546" s="7">
        <f t="shared" si="24"/>
        <v>0</v>
      </c>
      <c r="T546" s="7">
        <f t="shared" si="25"/>
        <v>0</v>
      </c>
    </row>
    <row r="547" spans="8:20" x14ac:dyDescent="0.3">
      <c r="H547" s="12">
        <f t="shared" si="26"/>
        <v>0</v>
      </c>
      <c r="S547" s="7">
        <f t="shared" si="24"/>
        <v>0</v>
      </c>
      <c r="T547" s="7">
        <f t="shared" si="25"/>
        <v>0</v>
      </c>
    </row>
    <row r="548" spans="8:20" x14ac:dyDescent="0.3">
      <c r="H548" s="12">
        <f t="shared" si="26"/>
        <v>0</v>
      </c>
      <c r="S548" s="7">
        <f t="shared" si="24"/>
        <v>0</v>
      </c>
      <c r="T548" s="7">
        <f t="shared" si="25"/>
        <v>0</v>
      </c>
    </row>
    <row r="549" spans="8:20" x14ac:dyDescent="0.3">
      <c r="H549" s="12">
        <f t="shared" si="26"/>
        <v>0</v>
      </c>
      <c r="S549" s="7">
        <f t="shared" si="24"/>
        <v>0</v>
      </c>
      <c r="T549" s="7">
        <f t="shared" si="25"/>
        <v>0</v>
      </c>
    </row>
    <row r="550" spans="8:20" x14ac:dyDescent="0.3">
      <c r="H550" s="12">
        <f t="shared" si="26"/>
        <v>0</v>
      </c>
      <c r="S550" s="7">
        <f t="shared" si="24"/>
        <v>0</v>
      </c>
      <c r="T550" s="7">
        <f t="shared" si="25"/>
        <v>0</v>
      </c>
    </row>
    <row r="551" spans="8:20" x14ac:dyDescent="0.3">
      <c r="H551" s="12">
        <f t="shared" si="26"/>
        <v>0</v>
      </c>
      <c r="S551" s="7">
        <f t="shared" si="24"/>
        <v>0</v>
      </c>
      <c r="T551" s="7">
        <f t="shared" si="25"/>
        <v>0</v>
      </c>
    </row>
  </sheetData>
  <autoFilter ref="A1:T551" xr:uid="{A85C4EC7-B56B-412E-BC14-0D619A27B9B1}"/>
  <phoneticPr fontId="16" type="noConversion"/>
  <conditionalFormatting sqref="T2:T551">
    <cfRule type="cellIs" dxfId="40" priority="1" operator="lessThan">
      <formula>0</formula>
    </cfRule>
    <cfRule type="cellIs" dxfId="39" priority="2" operator="greaterThan">
      <formula>0</formula>
    </cfRule>
  </conditionalFormatting>
  <pageMargins left="0.7" right="0.7" top="0.75" bottom="0.75" header="0.3" footer="0.3"/>
  <pageSetup orientation="portrait" horizontalDpi="4294967295" verticalDpi="429496729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A6DE7-B4CA-412A-A132-251DA746E4C6}">
  <sheetPr codeName="Sheet5">
    <pageSetUpPr fitToPage="1"/>
  </sheetPr>
  <dimension ref="A1:Y126"/>
  <sheetViews>
    <sheetView tabSelected="1" zoomScale="70" zoomScaleNormal="70" workbookViewId="0">
      <selection activeCell="E18" sqref="E18"/>
    </sheetView>
  </sheetViews>
  <sheetFormatPr defaultRowHeight="12" x14ac:dyDescent="0.3"/>
  <cols>
    <col min="1" max="1" width="11.88671875" style="15" customWidth="1"/>
    <col min="2" max="2" width="69.21875" style="15" customWidth="1"/>
    <col min="3" max="4" width="16.44140625" style="15" customWidth="1"/>
    <col min="5" max="5" width="8.44140625" style="15" customWidth="1"/>
    <col min="6" max="6" width="9.33203125" style="16" customWidth="1"/>
    <col min="7" max="7" width="16.109375" style="16" customWidth="1"/>
    <col min="8" max="8" width="18.33203125" style="16" customWidth="1"/>
    <col min="9" max="9" width="9.5546875" style="73" customWidth="1"/>
    <col min="10" max="10" width="27.77734375" style="74" customWidth="1"/>
    <col min="11" max="11" width="14.44140625" style="73" bestFit="1" customWidth="1"/>
    <col min="12" max="25" width="8.88671875" style="73"/>
    <col min="26" max="254" width="8.88671875" style="15"/>
    <col min="255" max="255" width="1.5546875" style="15" customWidth="1"/>
    <col min="256" max="257" width="9.33203125" style="15" customWidth="1"/>
    <col min="258" max="258" width="13.44140625" style="15" customWidth="1"/>
    <col min="259" max="259" width="32.5546875" style="15" customWidth="1"/>
    <col min="260" max="260" width="21.33203125" style="15" customWidth="1"/>
    <col min="261" max="261" width="12.33203125" style="15" customWidth="1"/>
    <col min="262" max="262" width="11.109375" style="15" customWidth="1"/>
    <col min="263" max="263" width="16.109375" style="15" customWidth="1"/>
    <col min="264" max="264" width="18.33203125" style="15" customWidth="1"/>
    <col min="265" max="265" width="10.88671875" style="15" bestFit="1" customWidth="1"/>
    <col min="266" max="266" width="14.33203125" style="15" customWidth="1"/>
    <col min="267" max="267" width="14.44140625" style="15" bestFit="1" customWidth="1"/>
    <col min="268" max="510" width="8.88671875" style="15"/>
    <col min="511" max="511" width="1.5546875" style="15" customWidth="1"/>
    <col min="512" max="513" width="9.33203125" style="15" customWidth="1"/>
    <col min="514" max="514" width="13.44140625" style="15" customWidth="1"/>
    <col min="515" max="515" width="32.5546875" style="15" customWidth="1"/>
    <col min="516" max="516" width="21.33203125" style="15" customWidth="1"/>
    <col min="517" max="517" width="12.33203125" style="15" customWidth="1"/>
    <col min="518" max="518" width="11.109375" style="15" customWidth="1"/>
    <col min="519" max="519" width="16.109375" style="15" customWidth="1"/>
    <col min="520" max="520" width="18.33203125" style="15" customWidth="1"/>
    <col min="521" max="521" width="10.88671875" style="15" bestFit="1" customWidth="1"/>
    <col min="522" max="522" width="14.33203125" style="15" customWidth="1"/>
    <col min="523" max="523" width="14.44140625" style="15" bestFit="1" customWidth="1"/>
    <col min="524" max="766" width="8.88671875" style="15"/>
    <col min="767" max="767" width="1.5546875" style="15" customWidth="1"/>
    <col min="768" max="769" width="9.33203125" style="15" customWidth="1"/>
    <col min="770" max="770" width="13.44140625" style="15" customWidth="1"/>
    <col min="771" max="771" width="32.5546875" style="15" customWidth="1"/>
    <col min="772" max="772" width="21.33203125" style="15" customWidth="1"/>
    <col min="773" max="773" width="12.33203125" style="15" customWidth="1"/>
    <col min="774" max="774" width="11.109375" style="15" customWidth="1"/>
    <col min="775" max="775" width="16.109375" style="15" customWidth="1"/>
    <col min="776" max="776" width="18.33203125" style="15" customWidth="1"/>
    <col min="777" max="777" width="10.88671875" style="15" bestFit="1" customWidth="1"/>
    <col min="778" max="778" width="14.33203125" style="15" customWidth="1"/>
    <col min="779" max="779" width="14.44140625" style="15" bestFit="1" customWidth="1"/>
    <col min="780" max="1022" width="8.88671875" style="15"/>
    <col min="1023" max="1023" width="1.5546875" style="15" customWidth="1"/>
    <col min="1024" max="1025" width="9.33203125" style="15" customWidth="1"/>
    <col min="1026" max="1026" width="13.44140625" style="15" customWidth="1"/>
    <col min="1027" max="1027" width="32.5546875" style="15" customWidth="1"/>
    <col min="1028" max="1028" width="21.33203125" style="15" customWidth="1"/>
    <col min="1029" max="1029" width="12.33203125" style="15" customWidth="1"/>
    <col min="1030" max="1030" width="11.109375" style="15" customWidth="1"/>
    <col min="1031" max="1031" width="16.109375" style="15" customWidth="1"/>
    <col min="1032" max="1032" width="18.33203125" style="15" customWidth="1"/>
    <col min="1033" max="1033" width="10.88671875" style="15" bestFit="1" customWidth="1"/>
    <col min="1034" max="1034" width="14.33203125" style="15" customWidth="1"/>
    <col min="1035" max="1035" width="14.44140625" style="15" bestFit="1" customWidth="1"/>
    <col min="1036" max="1278" width="8.88671875" style="15"/>
    <col min="1279" max="1279" width="1.5546875" style="15" customWidth="1"/>
    <col min="1280" max="1281" width="9.33203125" style="15" customWidth="1"/>
    <col min="1282" max="1282" width="13.44140625" style="15" customWidth="1"/>
    <col min="1283" max="1283" width="32.5546875" style="15" customWidth="1"/>
    <col min="1284" max="1284" width="21.33203125" style="15" customWidth="1"/>
    <col min="1285" max="1285" width="12.33203125" style="15" customWidth="1"/>
    <col min="1286" max="1286" width="11.109375" style="15" customWidth="1"/>
    <col min="1287" max="1287" width="16.109375" style="15" customWidth="1"/>
    <col min="1288" max="1288" width="18.33203125" style="15" customWidth="1"/>
    <col min="1289" max="1289" width="10.88671875" style="15" bestFit="1" customWidth="1"/>
    <col min="1290" max="1290" width="14.33203125" style="15" customWidth="1"/>
    <col min="1291" max="1291" width="14.44140625" style="15" bestFit="1" customWidth="1"/>
    <col min="1292" max="1534" width="8.88671875" style="15"/>
    <col min="1535" max="1535" width="1.5546875" style="15" customWidth="1"/>
    <col min="1536" max="1537" width="9.33203125" style="15" customWidth="1"/>
    <col min="1538" max="1538" width="13.44140625" style="15" customWidth="1"/>
    <col min="1539" max="1539" width="32.5546875" style="15" customWidth="1"/>
    <col min="1540" max="1540" width="21.33203125" style="15" customWidth="1"/>
    <col min="1541" max="1541" width="12.33203125" style="15" customWidth="1"/>
    <col min="1542" max="1542" width="11.109375" style="15" customWidth="1"/>
    <col min="1543" max="1543" width="16.109375" style="15" customWidth="1"/>
    <col min="1544" max="1544" width="18.33203125" style="15" customWidth="1"/>
    <col min="1545" max="1545" width="10.88671875" style="15" bestFit="1" customWidth="1"/>
    <col min="1546" max="1546" width="14.33203125" style="15" customWidth="1"/>
    <col min="1547" max="1547" width="14.44140625" style="15" bestFit="1" customWidth="1"/>
    <col min="1548" max="1790" width="8.88671875" style="15"/>
    <col min="1791" max="1791" width="1.5546875" style="15" customWidth="1"/>
    <col min="1792" max="1793" width="9.33203125" style="15" customWidth="1"/>
    <col min="1794" max="1794" width="13.44140625" style="15" customWidth="1"/>
    <col min="1795" max="1795" width="32.5546875" style="15" customWidth="1"/>
    <col min="1796" max="1796" width="21.33203125" style="15" customWidth="1"/>
    <col min="1797" max="1797" width="12.33203125" style="15" customWidth="1"/>
    <col min="1798" max="1798" width="11.109375" style="15" customWidth="1"/>
    <col min="1799" max="1799" width="16.109375" style="15" customWidth="1"/>
    <col min="1800" max="1800" width="18.33203125" style="15" customWidth="1"/>
    <col min="1801" max="1801" width="10.88671875" style="15" bestFit="1" customWidth="1"/>
    <col min="1802" max="1802" width="14.33203125" style="15" customWidth="1"/>
    <col min="1803" max="1803" width="14.44140625" style="15" bestFit="1" customWidth="1"/>
    <col min="1804" max="2046" width="8.88671875" style="15"/>
    <col min="2047" max="2047" width="1.5546875" style="15" customWidth="1"/>
    <col min="2048" max="2049" width="9.33203125" style="15" customWidth="1"/>
    <col min="2050" max="2050" width="13.44140625" style="15" customWidth="1"/>
    <col min="2051" max="2051" width="32.5546875" style="15" customWidth="1"/>
    <col min="2052" max="2052" width="21.33203125" style="15" customWidth="1"/>
    <col min="2053" max="2053" width="12.33203125" style="15" customWidth="1"/>
    <col min="2054" max="2054" width="11.109375" style="15" customWidth="1"/>
    <col min="2055" max="2055" width="16.109375" style="15" customWidth="1"/>
    <col min="2056" max="2056" width="18.33203125" style="15" customWidth="1"/>
    <col min="2057" max="2057" width="10.88671875" style="15" bestFit="1" customWidth="1"/>
    <col min="2058" max="2058" width="14.33203125" style="15" customWidth="1"/>
    <col min="2059" max="2059" width="14.44140625" style="15" bestFit="1" customWidth="1"/>
    <col min="2060" max="2302" width="8.88671875" style="15"/>
    <col min="2303" max="2303" width="1.5546875" style="15" customWidth="1"/>
    <col min="2304" max="2305" width="9.33203125" style="15" customWidth="1"/>
    <col min="2306" max="2306" width="13.44140625" style="15" customWidth="1"/>
    <col min="2307" max="2307" width="32.5546875" style="15" customWidth="1"/>
    <col min="2308" max="2308" width="21.33203125" style="15" customWidth="1"/>
    <col min="2309" max="2309" width="12.33203125" style="15" customWidth="1"/>
    <col min="2310" max="2310" width="11.109375" style="15" customWidth="1"/>
    <col min="2311" max="2311" width="16.109375" style="15" customWidth="1"/>
    <col min="2312" max="2312" width="18.33203125" style="15" customWidth="1"/>
    <col min="2313" max="2313" width="10.88671875" style="15" bestFit="1" customWidth="1"/>
    <col min="2314" max="2314" width="14.33203125" style="15" customWidth="1"/>
    <col min="2315" max="2315" width="14.44140625" style="15" bestFit="1" customWidth="1"/>
    <col min="2316" max="2558" width="8.88671875" style="15"/>
    <col min="2559" max="2559" width="1.5546875" style="15" customWidth="1"/>
    <col min="2560" max="2561" width="9.33203125" style="15" customWidth="1"/>
    <col min="2562" max="2562" width="13.44140625" style="15" customWidth="1"/>
    <col min="2563" max="2563" width="32.5546875" style="15" customWidth="1"/>
    <col min="2564" max="2564" width="21.33203125" style="15" customWidth="1"/>
    <col min="2565" max="2565" width="12.33203125" style="15" customWidth="1"/>
    <col min="2566" max="2566" width="11.109375" style="15" customWidth="1"/>
    <col min="2567" max="2567" width="16.109375" style="15" customWidth="1"/>
    <col min="2568" max="2568" width="18.33203125" style="15" customWidth="1"/>
    <col min="2569" max="2569" width="10.88671875" style="15" bestFit="1" customWidth="1"/>
    <col min="2570" max="2570" width="14.33203125" style="15" customWidth="1"/>
    <col min="2571" max="2571" width="14.44140625" style="15" bestFit="1" customWidth="1"/>
    <col min="2572" max="2814" width="8.88671875" style="15"/>
    <col min="2815" max="2815" width="1.5546875" style="15" customWidth="1"/>
    <col min="2816" max="2817" width="9.33203125" style="15" customWidth="1"/>
    <col min="2818" max="2818" width="13.44140625" style="15" customWidth="1"/>
    <col min="2819" max="2819" width="32.5546875" style="15" customWidth="1"/>
    <col min="2820" max="2820" width="21.33203125" style="15" customWidth="1"/>
    <col min="2821" max="2821" width="12.33203125" style="15" customWidth="1"/>
    <col min="2822" max="2822" width="11.109375" style="15" customWidth="1"/>
    <col min="2823" max="2823" width="16.109375" style="15" customWidth="1"/>
    <col min="2824" max="2824" width="18.33203125" style="15" customWidth="1"/>
    <col min="2825" max="2825" width="10.88671875" style="15" bestFit="1" customWidth="1"/>
    <col min="2826" max="2826" width="14.33203125" style="15" customWidth="1"/>
    <col min="2827" max="2827" width="14.44140625" style="15" bestFit="1" customWidth="1"/>
    <col min="2828" max="3070" width="8.88671875" style="15"/>
    <col min="3071" max="3071" width="1.5546875" style="15" customWidth="1"/>
    <col min="3072" max="3073" width="9.33203125" style="15" customWidth="1"/>
    <col min="3074" max="3074" width="13.44140625" style="15" customWidth="1"/>
    <col min="3075" max="3075" width="32.5546875" style="15" customWidth="1"/>
    <col min="3076" max="3076" width="21.33203125" style="15" customWidth="1"/>
    <col min="3077" max="3077" width="12.33203125" style="15" customWidth="1"/>
    <col min="3078" max="3078" width="11.109375" style="15" customWidth="1"/>
    <col min="3079" max="3079" width="16.109375" style="15" customWidth="1"/>
    <col min="3080" max="3080" width="18.33203125" style="15" customWidth="1"/>
    <col min="3081" max="3081" width="10.88671875" style="15" bestFit="1" customWidth="1"/>
    <col min="3082" max="3082" width="14.33203125" style="15" customWidth="1"/>
    <col min="3083" max="3083" width="14.44140625" style="15" bestFit="1" customWidth="1"/>
    <col min="3084" max="3326" width="8.88671875" style="15"/>
    <col min="3327" max="3327" width="1.5546875" style="15" customWidth="1"/>
    <col min="3328" max="3329" width="9.33203125" style="15" customWidth="1"/>
    <col min="3330" max="3330" width="13.44140625" style="15" customWidth="1"/>
    <col min="3331" max="3331" width="32.5546875" style="15" customWidth="1"/>
    <col min="3332" max="3332" width="21.33203125" style="15" customWidth="1"/>
    <col min="3333" max="3333" width="12.33203125" style="15" customWidth="1"/>
    <col min="3334" max="3334" width="11.109375" style="15" customWidth="1"/>
    <col min="3335" max="3335" width="16.109375" style="15" customWidth="1"/>
    <col min="3336" max="3336" width="18.33203125" style="15" customWidth="1"/>
    <col min="3337" max="3337" width="10.88671875" style="15" bestFit="1" customWidth="1"/>
    <col min="3338" max="3338" width="14.33203125" style="15" customWidth="1"/>
    <col min="3339" max="3339" width="14.44140625" style="15" bestFit="1" customWidth="1"/>
    <col min="3340" max="3582" width="8.88671875" style="15"/>
    <col min="3583" max="3583" width="1.5546875" style="15" customWidth="1"/>
    <col min="3584" max="3585" width="9.33203125" style="15" customWidth="1"/>
    <col min="3586" max="3586" width="13.44140625" style="15" customWidth="1"/>
    <col min="3587" max="3587" width="32.5546875" style="15" customWidth="1"/>
    <col min="3588" max="3588" width="21.33203125" style="15" customWidth="1"/>
    <col min="3589" max="3589" width="12.33203125" style="15" customWidth="1"/>
    <col min="3590" max="3590" width="11.109375" style="15" customWidth="1"/>
    <col min="3591" max="3591" width="16.109375" style="15" customWidth="1"/>
    <col min="3592" max="3592" width="18.33203125" style="15" customWidth="1"/>
    <col min="3593" max="3593" width="10.88671875" style="15" bestFit="1" customWidth="1"/>
    <col min="3594" max="3594" width="14.33203125" style="15" customWidth="1"/>
    <col min="3595" max="3595" width="14.44140625" style="15" bestFit="1" customWidth="1"/>
    <col min="3596" max="3838" width="8.88671875" style="15"/>
    <col min="3839" max="3839" width="1.5546875" style="15" customWidth="1"/>
    <col min="3840" max="3841" width="9.33203125" style="15" customWidth="1"/>
    <col min="3842" max="3842" width="13.44140625" style="15" customWidth="1"/>
    <col min="3843" max="3843" width="32.5546875" style="15" customWidth="1"/>
    <col min="3844" max="3844" width="21.33203125" style="15" customWidth="1"/>
    <col min="3845" max="3845" width="12.33203125" style="15" customWidth="1"/>
    <col min="3846" max="3846" width="11.109375" style="15" customWidth="1"/>
    <col min="3847" max="3847" width="16.109375" style="15" customWidth="1"/>
    <col min="3848" max="3848" width="18.33203125" style="15" customWidth="1"/>
    <col min="3849" max="3849" width="10.88671875" style="15" bestFit="1" customWidth="1"/>
    <col min="3850" max="3850" width="14.33203125" style="15" customWidth="1"/>
    <col min="3851" max="3851" width="14.44140625" style="15" bestFit="1" customWidth="1"/>
    <col min="3852" max="4094" width="8.88671875" style="15"/>
    <col min="4095" max="4095" width="1.5546875" style="15" customWidth="1"/>
    <col min="4096" max="4097" width="9.33203125" style="15" customWidth="1"/>
    <col min="4098" max="4098" width="13.44140625" style="15" customWidth="1"/>
    <col min="4099" max="4099" width="32.5546875" style="15" customWidth="1"/>
    <col min="4100" max="4100" width="21.33203125" style="15" customWidth="1"/>
    <col min="4101" max="4101" width="12.33203125" style="15" customWidth="1"/>
    <col min="4102" max="4102" width="11.109375" style="15" customWidth="1"/>
    <col min="4103" max="4103" width="16.109375" style="15" customWidth="1"/>
    <col min="4104" max="4104" width="18.33203125" style="15" customWidth="1"/>
    <col min="4105" max="4105" width="10.88671875" style="15" bestFit="1" customWidth="1"/>
    <col min="4106" max="4106" width="14.33203125" style="15" customWidth="1"/>
    <col min="4107" max="4107" width="14.44140625" style="15" bestFit="1" customWidth="1"/>
    <col min="4108" max="4350" width="8.88671875" style="15"/>
    <col min="4351" max="4351" width="1.5546875" style="15" customWidth="1"/>
    <col min="4352" max="4353" width="9.33203125" style="15" customWidth="1"/>
    <col min="4354" max="4354" width="13.44140625" style="15" customWidth="1"/>
    <col min="4355" max="4355" width="32.5546875" style="15" customWidth="1"/>
    <col min="4356" max="4356" width="21.33203125" style="15" customWidth="1"/>
    <col min="4357" max="4357" width="12.33203125" style="15" customWidth="1"/>
    <col min="4358" max="4358" width="11.109375" style="15" customWidth="1"/>
    <col min="4359" max="4359" width="16.109375" style="15" customWidth="1"/>
    <col min="4360" max="4360" width="18.33203125" style="15" customWidth="1"/>
    <col min="4361" max="4361" width="10.88671875" style="15" bestFit="1" customWidth="1"/>
    <col min="4362" max="4362" width="14.33203125" style="15" customWidth="1"/>
    <col min="4363" max="4363" width="14.44140625" style="15" bestFit="1" customWidth="1"/>
    <col min="4364" max="4606" width="8.88671875" style="15"/>
    <col min="4607" max="4607" width="1.5546875" style="15" customWidth="1"/>
    <col min="4608" max="4609" width="9.33203125" style="15" customWidth="1"/>
    <col min="4610" max="4610" width="13.44140625" style="15" customWidth="1"/>
    <col min="4611" max="4611" width="32.5546875" style="15" customWidth="1"/>
    <col min="4612" max="4612" width="21.33203125" style="15" customWidth="1"/>
    <col min="4613" max="4613" width="12.33203125" style="15" customWidth="1"/>
    <col min="4614" max="4614" width="11.109375" style="15" customWidth="1"/>
    <col min="4615" max="4615" width="16.109375" style="15" customWidth="1"/>
    <col min="4616" max="4616" width="18.33203125" style="15" customWidth="1"/>
    <col min="4617" max="4617" width="10.88671875" style="15" bestFit="1" customWidth="1"/>
    <col min="4618" max="4618" width="14.33203125" style="15" customWidth="1"/>
    <col min="4619" max="4619" width="14.44140625" style="15" bestFit="1" customWidth="1"/>
    <col min="4620" max="4862" width="8.88671875" style="15"/>
    <col min="4863" max="4863" width="1.5546875" style="15" customWidth="1"/>
    <col min="4864" max="4865" width="9.33203125" style="15" customWidth="1"/>
    <col min="4866" max="4866" width="13.44140625" style="15" customWidth="1"/>
    <col min="4867" max="4867" width="32.5546875" style="15" customWidth="1"/>
    <col min="4868" max="4868" width="21.33203125" style="15" customWidth="1"/>
    <col min="4869" max="4869" width="12.33203125" style="15" customWidth="1"/>
    <col min="4870" max="4870" width="11.109375" style="15" customWidth="1"/>
    <col min="4871" max="4871" width="16.109375" style="15" customWidth="1"/>
    <col min="4872" max="4872" width="18.33203125" style="15" customWidth="1"/>
    <col min="4873" max="4873" width="10.88671875" style="15" bestFit="1" customWidth="1"/>
    <col min="4874" max="4874" width="14.33203125" style="15" customWidth="1"/>
    <col min="4875" max="4875" width="14.44140625" style="15" bestFit="1" customWidth="1"/>
    <col min="4876" max="5118" width="8.88671875" style="15"/>
    <col min="5119" max="5119" width="1.5546875" style="15" customWidth="1"/>
    <col min="5120" max="5121" width="9.33203125" style="15" customWidth="1"/>
    <col min="5122" max="5122" width="13.44140625" style="15" customWidth="1"/>
    <col min="5123" max="5123" width="32.5546875" style="15" customWidth="1"/>
    <col min="5124" max="5124" width="21.33203125" style="15" customWidth="1"/>
    <col min="5125" max="5125" width="12.33203125" style="15" customWidth="1"/>
    <col min="5126" max="5126" width="11.109375" style="15" customWidth="1"/>
    <col min="5127" max="5127" width="16.109375" style="15" customWidth="1"/>
    <col min="5128" max="5128" width="18.33203125" style="15" customWidth="1"/>
    <col min="5129" max="5129" width="10.88671875" style="15" bestFit="1" customWidth="1"/>
    <col min="5130" max="5130" width="14.33203125" style="15" customWidth="1"/>
    <col min="5131" max="5131" width="14.44140625" style="15" bestFit="1" customWidth="1"/>
    <col min="5132" max="5374" width="8.88671875" style="15"/>
    <col min="5375" max="5375" width="1.5546875" style="15" customWidth="1"/>
    <col min="5376" max="5377" width="9.33203125" style="15" customWidth="1"/>
    <col min="5378" max="5378" width="13.44140625" style="15" customWidth="1"/>
    <col min="5379" max="5379" width="32.5546875" style="15" customWidth="1"/>
    <col min="5380" max="5380" width="21.33203125" style="15" customWidth="1"/>
    <col min="5381" max="5381" width="12.33203125" style="15" customWidth="1"/>
    <col min="5382" max="5382" width="11.109375" style="15" customWidth="1"/>
    <col min="5383" max="5383" width="16.109375" style="15" customWidth="1"/>
    <col min="5384" max="5384" width="18.33203125" style="15" customWidth="1"/>
    <col min="5385" max="5385" width="10.88671875" style="15" bestFit="1" customWidth="1"/>
    <col min="5386" max="5386" width="14.33203125" style="15" customWidth="1"/>
    <col min="5387" max="5387" width="14.44140625" style="15" bestFit="1" customWidth="1"/>
    <col min="5388" max="5630" width="8.88671875" style="15"/>
    <col min="5631" max="5631" width="1.5546875" style="15" customWidth="1"/>
    <col min="5632" max="5633" width="9.33203125" style="15" customWidth="1"/>
    <col min="5634" max="5634" width="13.44140625" style="15" customWidth="1"/>
    <col min="5635" max="5635" width="32.5546875" style="15" customWidth="1"/>
    <col min="5636" max="5636" width="21.33203125" style="15" customWidth="1"/>
    <col min="5637" max="5637" width="12.33203125" style="15" customWidth="1"/>
    <col min="5638" max="5638" width="11.109375" style="15" customWidth="1"/>
    <col min="5639" max="5639" width="16.109375" style="15" customWidth="1"/>
    <col min="5640" max="5640" width="18.33203125" style="15" customWidth="1"/>
    <col min="5641" max="5641" width="10.88671875" style="15" bestFit="1" customWidth="1"/>
    <col min="5642" max="5642" width="14.33203125" style="15" customWidth="1"/>
    <col min="5643" max="5643" width="14.44140625" style="15" bestFit="1" customWidth="1"/>
    <col min="5644" max="5886" width="8.88671875" style="15"/>
    <col min="5887" max="5887" width="1.5546875" style="15" customWidth="1"/>
    <col min="5888" max="5889" width="9.33203125" style="15" customWidth="1"/>
    <col min="5890" max="5890" width="13.44140625" style="15" customWidth="1"/>
    <col min="5891" max="5891" width="32.5546875" style="15" customWidth="1"/>
    <col min="5892" max="5892" width="21.33203125" style="15" customWidth="1"/>
    <col min="5893" max="5893" width="12.33203125" style="15" customWidth="1"/>
    <col min="5894" max="5894" width="11.109375" style="15" customWidth="1"/>
    <col min="5895" max="5895" width="16.109375" style="15" customWidth="1"/>
    <col min="5896" max="5896" width="18.33203125" style="15" customWidth="1"/>
    <col min="5897" max="5897" width="10.88671875" style="15" bestFit="1" customWidth="1"/>
    <col min="5898" max="5898" width="14.33203125" style="15" customWidth="1"/>
    <col min="5899" max="5899" width="14.44140625" style="15" bestFit="1" customWidth="1"/>
    <col min="5900" max="6142" width="8.88671875" style="15"/>
    <col min="6143" max="6143" width="1.5546875" style="15" customWidth="1"/>
    <col min="6144" max="6145" width="9.33203125" style="15" customWidth="1"/>
    <col min="6146" max="6146" width="13.44140625" style="15" customWidth="1"/>
    <col min="6147" max="6147" width="32.5546875" style="15" customWidth="1"/>
    <col min="6148" max="6148" width="21.33203125" style="15" customWidth="1"/>
    <col min="6149" max="6149" width="12.33203125" style="15" customWidth="1"/>
    <col min="6150" max="6150" width="11.109375" style="15" customWidth="1"/>
    <col min="6151" max="6151" width="16.109375" style="15" customWidth="1"/>
    <col min="6152" max="6152" width="18.33203125" style="15" customWidth="1"/>
    <col min="6153" max="6153" width="10.88671875" style="15" bestFit="1" customWidth="1"/>
    <col min="6154" max="6154" width="14.33203125" style="15" customWidth="1"/>
    <col min="6155" max="6155" width="14.44140625" style="15" bestFit="1" customWidth="1"/>
    <col min="6156" max="6398" width="8.88671875" style="15"/>
    <col min="6399" max="6399" width="1.5546875" style="15" customWidth="1"/>
    <col min="6400" max="6401" width="9.33203125" style="15" customWidth="1"/>
    <col min="6402" max="6402" width="13.44140625" style="15" customWidth="1"/>
    <col min="6403" max="6403" width="32.5546875" style="15" customWidth="1"/>
    <col min="6404" max="6404" width="21.33203125" style="15" customWidth="1"/>
    <col min="6405" max="6405" width="12.33203125" style="15" customWidth="1"/>
    <col min="6406" max="6406" width="11.109375" style="15" customWidth="1"/>
    <col min="6407" max="6407" width="16.109375" style="15" customWidth="1"/>
    <col min="6408" max="6408" width="18.33203125" style="15" customWidth="1"/>
    <col min="6409" max="6409" width="10.88671875" style="15" bestFit="1" customWidth="1"/>
    <col min="6410" max="6410" width="14.33203125" style="15" customWidth="1"/>
    <col min="6411" max="6411" width="14.44140625" style="15" bestFit="1" customWidth="1"/>
    <col min="6412" max="6654" width="8.88671875" style="15"/>
    <col min="6655" max="6655" width="1.5546875" style="15" customWidth="1"/>
    <col min="6656" max="6657" width="9.33203125" style="15" customWidth="1"/>
    <col min="6658" max="6658" width="13.44140625" style="15" customWidth="1"/>
    <col min="6659" max="6659" width="32.5546875" style="15" customWidth="1"/>
    <col min="6660" max="6660" width="21.33203125" style="15" customWidth="1"/>
    <col min="6661" max="6661" width="12.33203125" style="15" customWidth="1"/>
    <col min="6662" max="6662" width="11.109375" style="15" customWidth="1"/>
    <col min="6663" max="6663" width="16.109375" style="15" customWidth="1"/>
    <col min="6664" max="6664" width="18.33203125" style="15" customWidth="1"/>
    <col min="6665" max="6665" width="10.88671875" style="15" bestFit="1" customWidth="1"/>
    <col min="6666" max="6666" width="14.33203125" style="15" customWidth="1"/>
    <col min="6667" max="6667" width="14.44140625" style="15" bestFit="1" customWidth="1"/>
    <col min="6668" max="6910" width="8.88671875" style="15"/>
    <col min="6911" max="6911" width="1.5546875" style="15" customWidth="1"/>
    <col min="6912" max="6913" width="9.33203125" style="15" customWidth="1"/>
    <col min="6914" max="6914" width="13.44140625" style="15" customWidth="1"/>
    <col min="6915" max="6915" width="32.5546875" style="15" customWidth="1"/>
    <col min="6916" max="6916" width="21.33203125" style="15" customWidth="1"/>
    <col min="6917" max="6917" width="12.33203125" style="15" customWidth="1"/>
    <col min="6918" max="6918" width="11.109375" style="15" customWidth="1"/>
    <col min="6919" max="6919" width="16.109375" style="15" customWidth="1"/>
    <col min="6920" max="6920" width="18.33203125" style="15" customWidth="1"/>
    <col min="6921" max="6921" width="10.88671875" style="15" bestFit="1" customWidth="1"/>
    <col min="6922" max="6922" width="14.33203125" style="15" customWidth="1"/>
    <col min="6923" max="6923" width="14.44140625" style="15" bestFit="1" customWidth="1"/>
    <col min="6924" max="7166" width="8.88671875" style="15"/>
    <col min="7167" max="7167" width="1.5546875" style="15" customWidth="1"/>
    <col min="7168" max="7169" width="9.33203125" style="15" customWidth="1"/>
    <col min="7170" max="7170" width="13.44140625" style="15" customWidth="1"/>
    <col min="7171" max="7171" width="32.5546875" style="15" customWidth="1"/>
    <col min="7172" max="7172" width="21.33203125" style="15" customWidth="1"/>
    <col min="7173" max="7173" width="12.33203125" style="15" customWidth="1"/>
    <col min="7174" max="7174" width="11.109375" style="15" customWidth="1"/>
    <col min="7175" max="7175" width="16.109375" style="15" customWidth="1"/>
    <col min="7176" max="7176" width="18.33203125" style="15" customWidth="1"/>
    <col min="7177" max="7177" width="10.88671875" style="15" bestFit="1" customWidth="1"/>
    <col min="7178" max="7178" width="14.33203125" style="15" customWidth="1"/>
    <col min="7179" max="7179" width="14.44140625" style="15" bestFit="1" customWidth="1"/>
    <col min="7180" max="7422" width="8.88671875" style="15"/>
    <col min="7423" max="7423" width="1.5546875" style="15" customWidth="1"/>
    <col min="7424" max="7425" width="9.33203125" style="15" customWidth="1"/>
    <col min="7426" max="7426" width="13.44140625" style="15" customWidth="1"/>
    <col min="7427" max="7427" width="32.5546875" style="15" customWidth="1"/>
    <col min="7428" max="7428" width="21.33203125" style="15" customWidth="1"/>
    <col min="7429" max="7429" width="12.33203125" style="15" customWidth="1"/>
    <col min="7430" max="7430" width="11.109375" style="15" customWidth="1"/>
    <col min="7431" max="7431" width="16.109375" style="15" customWidth="1"/>
    <col min="7432" max="7432" width="18.33203125" style="15" customWidth="1"/>
    <col min="7433" max="7433" width="10.88671875" style="15" bestFit="1" customWidth="1"/>
    <col min="7434" max="7434" width="14.33203125" style="15" customWidth="1"/>
    <col min="7435" max="7435" width="14.44140625" style="15" bestFit="1" customWidth="1"/>
    <col min="7436" max="7678" width="8.88671875" style="15"/>
    <col min="7679" max="7679" width="1.5546875" style="15" customWidth="1"/>
    <col min="7680" max="7681" width="9.33203125" style="15" customWidth="1"/>
    <col min="7682" max="7682" width="13.44140625" style="15" customWidth="1"/>
    <col min="7683" max="7683" width="32.5546875" style="15" customWidth="1"/>
    <col min="7684" max="7684" width="21.33203125" style="15" customWidth="1"/>
    <col min="7685" max="7685" width="12.33203125" style="15" customWidth="1"/>
    <col min="7686" max="7686" width="11.109375" style="15" customWidth="1"/>
    <col min="7687" max="7687" width="16.109375" style="15" customWidth="1"/>
    <col min="7688" max="7688" width="18.33203125" style="15" customWidth="1"/>
    <col min="7689" max="7689" width="10.88671875" style="15" bestFit="1" customWidth="1"/>
    <col min="7690" max="7690" width="14.33203125" style="15" customWidth="1"/>
    <col min="7691" max="7691" width="14.44140625" style="15" bestFit="1" customWidth="1"/>
    <col min="7692" max="7934" width="8.88671875" style="15"/>
    <col min="7935" max="7935" width="1.5546875" style="15" customWidth="1"/>
    <col min="7936" max="7937" width="9.33203125" style="15" customWidth="1"/>
    <col min="7938" max="7938" width="13.44140625" style="15" customWidth="1"/>
    <col min="7939" max="7939" width="32.5546875" style="15" customWidth="1"/>
    <col min="7940" max="7940" width="21.33203125" style="15" customWidth="1"/>
    <col min="7941" max="7941" width="12.33203125" style="15" customWidth="1"/>
    <col min="7942" max="7942" width="11.109375" style="15" customWidth="1"/>
    <col min="7943" max="7943" width="16.109375" style="15" customWidth="1"/>
    <col min="7944" max="7944" width="18.33203125" style="15" customWidth="1"/>
    <col min="7945" max="7945" width="10.88671875" style="15" bestFit="1" customWidth="1"/>
    <col min="7946" max="7946" width="14.33203125" style="15" customWidth="1"/>
    <col min="7947" max="7947" width="14.44140625" style="15" bestFit="1" customWidth="1"/>
    <col min="7948" max="8190" width="8.88671875" style="15"/>
    <col min="8191" max="8191" width="1.5546875" style="15" customWidth="1"/>
    <col min="8192" max="8193" width="9.33203125" style="15" customWidth="1"/>
    <col min="8194" max="8194" width="13.44140625" style="15" customWidth="1"/>
    <col min="8195" max="8195" width="32.5546875" style="15" customWidth="1"/>
    <col min="8196" max="8196" width="21.33203125" style="15" customWidth="1"/>
    <col min="8197" max="8197" width="12.33203125" style="15" customWidth="1"/>
    <col min="8198" max="8198" width="11.109375" style="15" customWidth="1"/>
    <col min="8199" max="8199" width="16.109375" style="15" customWidth="1"/>
    <col min="8200" max="8200" width="18.33203125" style="15" customWidth="1"/>
    <col min="8201" max="8201" width="10.88671875" style="15" bestFit="1" customWidth="1"/>
    <col min="8202" max="8202" width="14.33203125" style="15" customWidth="1"/>
    <col min="8203" max="8203" width="14.44140625" style="15" bestFit="1" customWidth="1"/>
    <col min="8204" max="8446" width="8.88671875" style="15"/>
    <col min="8447" max="8447" width="1.5546875" style="15" customWidth="1"/>
    <col min="8448" max="8449" width="9.33203125" style="15" customWidth="1"/>
    <col min="8450" max="8450" width="13.44140625" style="15" customWidth="1"/>
    <col min="8451" max="8451" width="32.5546875" style="15" customWidth="1"/>
    <col min="8452" max="8452" width="21.33203125" style="15" customWidth="1"/>
    <col min="8453" max="8453" width="12.33203125" style="15" customWidth="1"/>
    <col min="8454" max="8454" width="11.109375" style="15" customWidth="1"/>
    <col min="8455" max="8455" width="16.109375" style="15" customWidth="1"/>
    <col min="8456" max="8456" width="18.33203125" style="15" customWidth="1"/>
    <col min="8457" max="8457" width="10.88671875" style="15" bestFit="1" customWidth="1"/>
    <col min="8458" max="8458" width="14.33203125" style="15" customWidth="1"/>
    <col min="8459" max="8459" width="14.44140625" style="15" bestFit="1" customWidth="1"/>
    <col min="8460" max="8702" width="8.88671875" style="15"/>
    <col min="8703" max="8703" width="1.5546875" style="15" customWidth="1"/>
    <col min="8704" max="8705" width="9.33203125" style="15" customWidth="1"/>
    <col min="8706" max="8706" width="13.44140625" style="15" customWidth="1"/>
    <col min="8707" max="8707" width="32.5546875" style="15" customWidth="1"/>
    <col min="8708" max="8708" width="21.33203125" style="15" customWidth="1"/>
    <col min="8709" max="8709" width="12.33203125" style="15" customWidth="1"/>
    <col min="8710" max="8710" width="11.109375" style="15" customWidth="1"/>
    <col min="8711" max="8711" width="16.109375" style="15" customWidth="1"/>
    <col min="8712" max="8712" width="18.33203125" style="15" customWidth="1"/>
    <col min="8713" max="8713" width="10.88671875" style="15" bestFit="1" customWidth="1"/>
    <col min="8714" max="8714" width="14.33203125" style="15" customWidth="1"/>
    <col min="8715" max="8715" width="14.44140625" style="15" bestFit="1" customWidth="1"/>
    <col min="8716" max="8958" width="8.88671875" style="15"/>
    <col min="8959" max="8959" width="1.5546875" style="15" customWidth="1"/>
    <col min="8960" max="8961" width="9.33203125" style="15" customWidth="1"/>
    <col min="8962" max="8962" width="13.44140625" style="15" customWidth="1"/>
    <col min="8963" max="8963" width="32.5546875" style="15" customWidth="1"/>
    <col min="8964" max="8964" width="21.33203125" style="15" customWidth="1"/>
    <col min="8965" max="8965" width="12.33203125" style="15" customWidth="1"/>
    <col min="8966" max="8966" width="11.109375" style="15" customWidth="1"/>
    <col min="8967" max="8967" width="16.109375" style="15" customWidth="1"/>
    <col min="8968" max="8968" width="18.33203125" style="15" customWidth="1"/>
    <col min="8969" max="8969" width="10.88671875" style="15" bestFit="1" customWidth="1"/>
    <col min="8970" max="8970" width="14.33203125" style="15" customWidth="1"/>
    <col min="8971" max="8971" width="14.44140625" style="15" bestFit="1" customWidth="1"/>
    <col min="8972" max="9214" width="8.88671875" style="15"/>
    <col min="9215" max="9215" width="1.5546875" style="15" customWidth="1"/>
    <col min="9216" max="9217" width="9.33203125" style="15" customWidth="1"/>
    <col min="9218" max="9218" width="13.44140625" style="15" customWidth="1"/>
    <col min="9219" max="9219" width="32.5546875" style="15" customWidth="1"/>
    <col min="9220" max="9220" width="21.33203125" style="15" customWidth="1"/>
    <col min="9221" max="9221" width="12.33203125" style="15" customWidth="1"/>
    <col min="9222" max="9222" width="11.109375" style="15" customWidth="1"/>
    <col min="9223" max="9223" width="16.109375" style="15" customWidth="1"/>
    <col min="9224" max="9224" width="18.33203125" style="15" customWidth="1"/>
    <col min="9225" max="9225" width="10.88671875" style="15" bestFit="1" customWidth="1"/>
    <col min="9226" max="9226" width="14.33203125" style="15" customWidth="1"/>
    <col min="9227" max="9227" width="14.44140625" style="15" bestFit="1" customWidth="1"/>
    <col min="9228" max="9470" width="8.88671875" style="15"/>
    <col min="9471" max="9471" width="1.5546875" style="15" customWidth="1"/>
    <col min="9472" max="9473" width="9.33203125" style="15" customWidth="1"/>
    <col min="9474" max="9474" width="13.44140625" style="15" customWidth="1"/>
    <col min="9475" max="9475" width="32.5546875" style="15" customWidth="1"/>
    <col min="9476" max="9476" width="21.33203125" style="15" customWidth="1"/>
    <col min="9477" max="9477" width="12.33203125" style="15" customWidth="1"/>
    <col min="9478" max="9478" width="11.109375" style="15" customWidth="1"/>
    <col min="9479" max="9479" width="16.109375" style="15" customWidth="1"/>
    <col min="9480" max="9480" width="18.33203125" style="15" customWidth="1"/>
    <col min="9481" max="9481" width="10.88671875" style="15" bestFit="1" customWidth="1"/>
    <col min="9482" max="9482" width="14.33203125" style="15" customWidth="1"/>
    <col min="9483" max="9483" width="14.44140625" style="15" bestFit="1" customWidth="1"/>
    <col min="9484" max="9726" width="8.88671875" style="15"/>
    <col min="9727" max="9727" width="1.5546875" style="15" customWidth="1"/>
    <col min="9728" max="9729" width="9.33203125" style="15" customWidth="1"/>
    <col min="9730" max="9730" width="13.44140625" style="15" customWidth="1"/>
    <col min="9731" max="9731" width="32.5546875" style="15" customWidth="1"/>
    <col min="9732" max="9732" width="21.33203125" style="15" customWidth="1"/>
    <col min="9733" max="9733" width="12.33203125" style="15" customWidth="1"/>
    <col min="9734" max="9734" width="11.109375" style="15" customWidth="1"/>
    <col min="9735" max="9735" width="16.109375" style="15" customWidth="1"/>
    <col min="9736" max="9736" width="18.33203125" style="15" customWidth="1"/>
    <col min="9737" max="9737" width="10.88671875" style="15" bestFit="1" customWidth="1"/>
    <col min="9738" max="9738" width="14.33203125" style="15" customWidth="1"/>
    <col min="9739" max="9739" width="14.44140625" style="15" bestFit="1" customWidth="1"/>
    <col min="9740" max="9982" width="8.88671875" style="15"/>
    <col min="9983" max="9983" width="1.5546875" style="15" customWidth="1"/>
    <col min="9984" max="9985" width="9.33203125" style="15" customWidth="1"/>
    <col min="9986" max="9986" width="13.44140625" style="15" customWidth="1"/>
    <col min="9987" max="9987" width="32.5546875" style="15" customWidth="1"/>
    <col min="9988" max="9988" width="21.33203125" style="15" customWidth="1"/>
    <col min="9989" max="9989" width="12.33203125" style="15" customWidth="1"/>
    <col min="9990" max="9990" width="11.109375" style="15" customWidth="1"/>
    <col min="9991" max="9991" width="16.109375" style="15" customWidth="1"/>
    <col min="9992" max="9992" width="18.33203125" style="15" customWidth="1"/>
    <col min="9993" max="9993" width="10.88671875" style="15" bestFit="1" customWidth="1"/>
    <col min="9994" max="9994" width="14.33203125" style="15" customWidth="1"/>
    <col min="9995" max="9995" width="14.44140625" style="15" bestFit="1" customWidth="1"/>
    <col min="9996" max="10238" width="8.88671875" style="15"/>
    <col min="10239" max="10239" width="1.5546875" style="15" customWidth="1"/>
    <col min="10240" max="10241" width="9.33203125" style="15" customWidth="1"/>
    <col min="10242" max="10242" width="13.44140625" style="15" customWidth="1"/>
    <col min="10243" max="10243" width="32.5546875" style="15" customWidth="1"/>
    <col min="10244" max="10244" width="21.33203125" style="15" customWidth="1"/>
    <col min="10245" max="10245" width="12.33203125" style="15" customWidth="1"/>
    <col min="10246" max="10246" width="11.109375" style="15" customWidth="1"/>
    <col min="10247" max="10247" width="16.109375" style="15" customWidth="1"/>
    <col min="10248" max="10248" width="18.33203125" style="15" customWidth="1"/>
    <col min="10249" max="10249" width="10.88671875" style="15" bestFit="1" customWidth="1"/>
    <col min="10250" max="10250" width="14.33203125" style="15" customWidth="1"/>
    <col min="10251" max="10251" width="14.44140625" style="15" bestFit="1" customWidth="1"/>
    <col min="10252" max="10494" width="8.88671875" style="15"/>
    <col min="10495" max="10495" width="1.5546875" style="15" customWidth="1"/>
    <col min="10496" max="10497" width="9.33203125" style="15" customWidth="1"/>
    <col min="10498" max="10498" width="13.44140625" style="15" customWidth="1"/>
    <col min="10499" max="10499" width="32.5546875" style="15" customWidth="1"/>
    <col min="10500" max="10500" width="21.33203125" style="15" customWidth="1"/>
    <col min="10501" max="10501" width="12.33203125" style="15" customWidth="1"/>
    <col min="10502" max="10502" width="11.109375" style="15" customWidth="1"/>
    <col min="10503" max="10503" width="16.109375" style="15" customWidth="1"/>
    <col min="10504" max="10504" width="18.33203125" style="15" customWidth="1"/>
    <col min="10505" max="10505" width="10.88671875" style="15" bestFit="1" customWidth="1"/>
    <col min="10506" max="10506" width="14.33203125" style="15" customWidth="1"/>
    <col min="10507" max="10507" width="14.44140625" style="15" bestFit="1" customWidth="1"/>
    <col min="10508" max="10750" width="8.88671875" style="15"/>
    <col min="10751" max="10751" width="1.5546875" style="15" customWidth="1"/>
    <col min="10752" max="10753" width="9.33203125" style="15" customWidth="1"/>
    <col min="10754" max="10754" width="13.44140625" style="15" customWidth="1"/>
    <col min="10755" max="10755" width="32.5546875" style="15" customWidth="1"/>
    <col min="10756" max="10756" width="21.33203125" style="15" customWidth="1"/>
    <col min="10757" max="10757" width="12.33203125" style="15" customWidth="1"/>
    <col min="10758" max="10758" width="11.109375" style="15" customWidth="1"/>
    <col min="10759" max="10759" width="16.109375" style="15" customWidth="1"/>
    <col min="10760" max="10760" width="18.33203125" style="15" customWidth="1"/>
    <col min="10761" max="10761" width="10.88671875" style="15" bestFit="1" customWidth="1"/>
    <col min="10762" max="10762" width="14.33203125" style="15" customWidth="1"/>
    <col min="10763" max="10763" width="14.44140625" style="15" bestFit="1" customWidth="1"/>
    <col min="10764" max="11006" width="8.88671875" style="15"/>
    <col min="11007" max="11007" width="1.5546875" style="15" customWidth="1"/>
    <col min="11008" max="11009" width="9.33203125" style="15" customWidth="1"/>
    <col min="11010" max="11010" width="13.44140625" style="15" customWidth="1"/>
    <col min="11011" max="11011" width="32.5546875" style="15" customWidth="1"/>
    <col min="11012" max="11012" width="21.33203125" style="15" customWidth="1"/>
    <col min="11013" max="11013" width="12.33203125" style="15" customWidth="1"/>
    <col min="11014" max="11014" width="11.109375" style="15" customWidth="1"/>
    <col min="11015" max="11015" width="16.109375" style="15" customWidth="1"/>
    <col min="11016" max="11016" width="18.33203125" style="15" customWidth="1"/>
    <col min="11017" max="11017" width="10.88671875" style="15" bestFit="1" customWidth="1"/>
    <col min="11018" max="11018" width="14.33203125" style="15" customWidth="1"/>
    <col min="11019" max="11019" width="14.44140625" style="15" bestFit="1" customWidth="1"/>
    <col min="11020" max="11262" width="8.88671875" style="15"/>
    <col min="11263" max="11263" width="1.5546875" style="15" customWidth="1"/>
    <col min="11264" max="11265" width="9.33203125" style="15" customWidth="1"/>
    <col min="11266" max="11266" width="13.44140625" style="15" customWidth="1"/>
    <col min="11267" max="11267" width="32.5546875" style="15" customWidth="1"/>
    <col min="11268" max="11268" width="21.33203125" style="15" customWidth="1"/>
    <col min="11269" max="11269" width="12.33203125" style="15" customWidth="1"/>
    <col min="11270" max="11270" width="11.109375" style="15" customWidth="1"/>
    <col min="11271" max="11271" width="16.109375" style="15" customWidth="1"/>
    <col min="11272" max="11272" width="18.33203125" style="15" customWidth="1"/>
    <col min="11273" max="11273" width="10.88671875" style="15" bestFit="1" customWidth="1"/>
    <col min="11274" max="11274" width="14.33203125" style="15" customWidth="1"/>
    <col min="11275" max="11275" width="14.44140625" style="15" bestFit="1" customWidth="1"/>
    <col min="11276" max="11518" width="8.88671875" style="15"/>
    <col min="11519" max="11519" width="1.5546875" style="15" customWidth="1"/>
    <col min="11520" max="11521" width="9.33203125" style="15" customWidth="1"/>
    <col min="11522" max="11522" width="13.44140625" style="15" customWidth="1"/>
    <col min="11523" max="11523" width="32.5546875" style="15" customWidth="1"/>
    <col min="11524" max="11524" width="21.33203125" style="15" customWidth="1"/>
    <col min="11525" max="11525" width="12.33203125" style="15" customWidth="1"/>
    <col min="11526" max="11526" width="11.109375" style="15" customWidth="1"/>
    <col min="11527" max="11527" width="16.109375" style="15" customWidth="1"/>
    <col min="11528" max="11528" width="18.33203125" style="15" customWidth="1"/>
    <col min="11529" max="11529" width="10.88671875" style="15" bestFit="1" customWidth="1"/>
    <col min="11530" max="11530" width="14.33203125" style="15" customWidth="1"/>
    <col min="11531" max="11531" width="14.44140625" style="15" bestFit="1" customWidth="1"/>
    <col min="11532" max="11774" width="8.88671875" style="15"/>
    <col min="11775" max="11775" width="1.5546875" style="15" customWidth="1"/>
    <col min="11776" max="11777" width="9.33203125" style="15" customWidth="1"/>
    <col min="11778" max="11778" width="13.44140625" style="15" customWidth="1"/>
    <col min="11779" max="11779" width="32.5546875" style="15" customWidth="1"/>
    <col min="11780" max="11780" width="21.33203125" style="15" customWidth="1"/>
    <col min="11781" max="11781" width="12.33203125" style="15" customWidth="1"/>
    <col min="11782" max="11782" width="11.109375" style="15" customWidth="1"/>
    <col min="11783" max="11783" width="16.109375" style="15" customWidth="1"/>
    <col min="11784" max="11784" width="18.33203125" style="15" customWidth="1"/>
    <col min="11785" max="11785" width="10.88671875" style="15" bestFit="1" customWidth="1"/>
    <col min="11786" max="11786" width="14.33203125" style="15" customWidth="1"/>
    <col min="11787" max="11787" width="14.44140625" style="15" bestFit="1" customWidth="1"/>
    <col min="11788" max="12030" width="8.88671875" style="15"/>
    <col min="12031" max="12031" width="1.5546875" style="15" customWidth="1"/>
    <col min="12032" max="12033" width="9.33203125" style="15" customWidth="1"/>
    <col min="12034" max="12034" width="13.44140625" style="15" customWidth="1"/>
    <col min="12035" max="12035" width="32.5546875" style="15" customWidth="1"/>
    <col min="12036" max="12036" width="21.33203125" style="15" customWidth="1"/>
    <col min="12037" max="12037" width="12.33203125" style="15" customWidth="1"/>
    <col min="12038" max="12038" width="11.109375" style="15" customWidth="1"/>
    <col min="12039" max="12039" width="16.109375" style="15" customWidth="1"/>
    <col min="12040" max="12040" width="18.33203125" style="15" customWidth="1"/>
    <col min="12041" max="12041" width="10.88671875" style="15" bestFit="1" customWidth="1"/>
    <col min="12042" max="12042" width="14.33203125" style="15" customWidth="1"/>
    <col min="12043" max="12043" width="14.44140625" style="15" bestFit="1" customWidth="1"/>
    <col min="12044" max="12286" width="8.88671875" style="15"/>
    <col min="12287" max="12287" width="1.5546875" style="15" customWidth="1"/>
    <col min="12288" max="12289" width="9.33203125" style="15" customWidth="1"/>
    <col min="12290" max="12290" width="13.44140625" style="15" customWidth="1"/>
    <col min="12291" max="12291" width="32.5546875" style="15" customWidth="1"/>
    <col min="12292" max="12292" width="21.33203125" style="15" customWidth="1"/>
    <col min="12293" max="12293" width="12.33203125" style="15" customWidth="1"/>
    <col min="12294" max="12294" width="11.109375" style="15" customWidth="1"/>
    <col min="12295" max="12295" width="16.109375" style="15" customWidth="1"/>
    <col min="12296" max="12296" width="18.33203125" style="15" customWidth="1"/>
    <col min="12297" max="12297" width="10.88671875" style="15" bestFit="1" customWidth="1"/>
    <col min="12298" max="12298" width="14.33203125" style="15" customWidth="1"/>
    <col min="12299" max="12299" width="14.44140625" style="15" bestFit="1" customWidth="1"/>
    <col min="12300" max="12542" width="8.88671875" style="15"/>
    <col min="12543" max="12543" width="1.5546875" style="15" customWidth="1"/>
    <col min="12544" max="12545" width="9.33203125" style="15" customWidth="1"/>
    <col min="12546" max="12546" width="13.44140625" style="15" customWidth="1"/>
    <col min="12547" max="12547" width="32.5546875" style="15" customWidth="1"/>
    <col min="12548" max="12548" width="21.33203125" style="15" customWidth="1"/>
    <col min="12549" max="12549" width="12.33203125" style="15" customWidth="1"/>
    <col min="12550" max="12550" width="11.109375" style="15" customWidth="1"/>
    <col min="12551" max="12551" width="16.109375" style="15" customWidth="1"/>
    <col min="12552" max="12552" width="18.33203125" style="15" customWidth="1"/>
    <col min="12553" max="12553" width="10.88671875" style="15" bestFit="1" customWidth="1"/>
    <col min="12554" max="12554" width="14.33203125" style="15" customWidth="1"/>
    <col min="12555" max="12555" width="14.44140625" style="15" bestFit="1" customWidth="1"/>
    <col min="12556" max="12798" width="8.88671875" style="15"/>
    <col min="12799" max="12799" width="1.5546875" style="15" customWidth="1"/>
    <col min="12800" max="12801" width="9.33203125" style="15" customWidth="1"/>
    <col min="12802" max="12802" width="13.44140625" style="15" customWidth="1"/>
    <col min="12803" max="12803" width="32.5546875" style="15" customWidth="1"/>
    <col min="12804" max="12804" width="21.33203125" style="15" customWidth="1"/>
    <col min="12805" max="12805" width="12.33203125" style="15" customWidth="1"/>
    <col min="12806" max="12806" width="11.109375" style="15" customWidth="1"/>
    <col min="12807" max="12807" width="16.109375" style="15" customWidth="1"/>
    <col min="12808" max="12808" width="18.33203125" style="15" customWidth="1"/>
    <col min="12809" max="12809" width="10.88671875" style="15" bestFit="1" customWidth="1"/>
    <col min="12810" max="12810" width="14.33203125" style="15" customWidth="1"/>
    <col min="12811" max="12811" width="14.44140625" style="15" bestFit="1" customWidth="1"/>
    <col min="12812" max="13054" width="8.88671875" style="15"/>
    <col min="13055" max="13055" width="1.5546875" style="15" customWidth="1"/>
    <col min="13056" max="13057" width="9.33203125" style="15" customWidth="1"/>
    <col min="13058" max="13058" width="13.44140625" style="15" customWidth="1"/>
    <col min="13059" max="13059" width="32.5546875" style="15" customWidth="1"/>
    <col min="13060" max="13060" width="21.33203125" style="15" customWidth="1"/>
    <col min="13061" max="13061" width="12.33203125" style="15" customWidth="1"/>
    <col min="13062" max="13062" width="11.109375" style="15" customWidth="1"/>
    <col min="13063" max="13063" width="16.109375" style="15" customWidth="1"/>
    <col min="13064" max="13064" width="18.33203125" style="15" customWidth="1"/>
    <col min="13065" max="13065" width="10.88671875" style="15" bestFit="1" customWidth="1"/>
    <col min="13066" max="13066" width="14.33203125" style="15" customWidth="1"/>
    <col min="13067" max="13067" width="14.44140625" style="15" bestFit="1" customWidth="1"/>
    <col min="13068" max="13310" width="8.88671875" style="15"/>
    <col min="13311" max="13311" width="1.5546875" style="15" customWidth="1"/>
    <col min="13312" max="13313" width="9.33203125" style="15" customWidth="1"/>
    <col min="13314" max="13314" width="13.44140625" style="15" customWidth="1"/>
    <col min="13315" max="13315" width="32.5546875" style="15" customWidth="1"/>
    <col min="13316" max="13316" width="21.33203125" style="15" customWidth="1"/>
    <col min="13317" max="13317" width="12.33203125" style="15" customWidth="1"/>
    <col min="13318" max="13318" width="11.109375" style="15" customWidth="1"/>
    <col min="13319" max="13319" width="16.109375" style="15" customWidth="1"/>
    <col min="13320" max="13320" width="18.33203125" style="15" customWidth="1"/>
    <col min="13321" max="13321" width="10.88671875" style="15" bestFit="1" customWidth="1"/>
    <col min="13322" max="13322" width="14.33203125" style="15" customWidth="1"/>
    <col min="13323" max="13323" width="14.44140625" style="15" bestFit="1" customWidth="1"/>
    <col min="13324" max="13566" width="8.88671875" style="15"/>
    <col min="13567" max="13567" width="1.5546875" style="15" customWidth="1"/>
    <col min="13568" max="13569" width="9.33203125" style="15" customWidth="1"/>
    <col min="13570" max="13570" width="13.44140625" style="15" customWidth="1"/>
    <col min="13571" max="13571" width="32.5546875" style="15" customWidth="1"/>
    <col min="13572" max="13572" width="21.33203125" style="15" customWidth="1"/>
    <col min="13573" max="13573" width="12.33203125" style="15" customWidth="1"/>
    <col min="13574" max="13574" width="11.109375" style="15" customWidth="1"/>
    <col min="13575" max="13575" width="16.109375" style="15" customWidth="1"/>
    <col min="13576" max="13576" width="18.33203125" style="15" customWidth="1"/>
    <col min="13577" max="13577" width="10.88671875" style="15" bestFit="1" customWidth="1"/>
    <col min="13578" max="13578" width="14.33203125" style="15" customWidth="1"/>
    <col min="13579" max="13579" width="14.44140625" style="15" bestFit="1" customWidth="1"/>
    <col min="13580" max="13822" width="8.88671875" style="15"/>
    <col min="13823" max="13823" width="1.5546875" style="15" customWidth="1"/>
    <col min="13824" max="13825" width="9.33203125" style="15" customWidth="1"/>
    <col min="13826" max="13826" width="13.44140625" style="15" customWidth="1"/>
    <col min="13827" max="13827" width="32.5546875" style="15" customWidth="1"/>
    <col min="13828" max="13828" width="21.33203125" style="15" customWidth="1"/>
    <col min="13829" max="13829" width="12.33203125" style="15" customWidth="1"/>
    <col min="13830" max="13830" width="11.109375" style="15" customWidth="1"/>
    <col min="13831" max="13831" width="16.109375" style="15" customWidth="1"/>
    <col min="13832" max="13832" width="18.33203125" style="15" customWidth="1"/>
    <col min="13833" max="13833" width="10.88671875" style="15" bestFit="1" customWidth="1"/>
    <col min="13834" max="13834" width="14.33203125" style="15" customWidth="1"/>
    <col min="13835" max="13835" width="14.44140625" style="15" bestFit="1" customWidth="1"/>
    <col min="13836" max="14078" width="8.88671875" style="15"/>
    <col min="14079" max="14079" width="1.5546875" style="15" customWidth="1"/>
    <col min="14080" max="14081" width="9.33203125" style="15" customWidth="1"/>
    <col min="14082" max="14082" width="13.44140625" style="15" customWidth="1"/>
    <col min="14083" max="14083" width="32.5546875" style="15" customWidth="1"/>
    <col min="14084" max="14084" width="21.33203125" style="15" customWidth="1"/>
    <col min="14085" max="14085" width="12.33203125" style="15" customWidth="1"/>
    <col min="14086" max="14086" width="11.109375" style="15" customWidth="1"/>
    <col min="14087" max="14087" width="16.109375" style="15" customWidth="1"/>
    <col min="14088" max="14088" width="18.33203125" style="15" customWidth="1"/>
    <col min="14089" max="14089" width="10.88671875" style="15" bestFit="1" customWidth="1"/>
    <col min="14090" max="14090" width="14.33203125" style="15" customWidth="1"/>
    <col min="14091" max="14091" width="14.44140625" style="15" bestFit="1" customWidth="1"/>
    <col min="14092" max="14334" width="8.88671875" style="15"/>
    <col min="14335" max="14335" width="1.5546875" style="15" customWidth="1"/>
    <col min="14336" max="14337" width="9.33203125" style="15" customWidth="1"/>
    <col min="14338" max="14338" width="13.44140625" style="15" customWidth="1"/>
    <col min="14339" max="14339" width="32.5546875" style="15" customWidth="1"/>
    <col min="14340" max="14340" width="21.33203125" style="15" customWidth="1"/>
    <col min="14341" max="14341" width="12.33203125" style="15" customWidth="1"/>
    <col min="14342" max="14342" width="11.109375" style="15" customWidth="1"/>
    <col min="14343" max="14343" width="16.109375" style="15" customWidth="1"/>
    <col min="14344" max="14344" width="18.33203125" style="15" customWidth="1"/>
    <col min="14345" max="14345" width="10.88671875" style="15" bestFit="1" customWidth="1"/>
    <col min="14346" max="14346" width="14.33203125" style="15" customWidth="1"/>
    <col min="14347" max="14347" width="14.44140625" style="15" bestFit="1" customWidth="1"/>
    <col min="14348" max="14590" width="8.88671875" style="15"/>
    <col min="14591" max="14591" width="1.5546875" style="15" customWidth="1"/>
    <col min="14592" max="14593" width="9.33203125" style="15" customWidth="1"/>
    <col min="14594" max="14594" width="13.44140625" style="15" customWidth="1"/>
    <col min="14595" max="14595" width="32.5546875" style="15" customWidth="1"/>
    <col min="14596" max="14596" width="21.33203125" style="15" customWidth="1"/>
    <col min="14597" max="14597" width="12.33203125" style="15" customWidth="1"/>
    <col min="14598" max="14598" width="11.109375" style="15" customWidth="1"/>
    <col min="14599" max="14599" width="16.109375" style="15" customWidth="1"/>
    <col min="14600" max="14600" width="18.33203125" style="15" customWidth="1"/>
    <col min="14601" max="14601" width="10.88671875" style="15" bestFit="1" customWidth="1"/>
    <col min="14602" max="14602" width="14.33203125" style="15" customWidth="1"/>
    <col min="14603" max="14603" width="14.44140625" style="15" bestFit="1" customWidth="1"/>
    <col min="14604" max="14846" width="8.88671875" style="15"/>
    <col min="14847" max="14847" width="1.5546875" style="15" customWidth="1"/>
    <col min="14848" max="14849" width="9.33203125" style="15" customWidth="1"/>
    <col min="14850" max="14850" width="13.44140625" style="15" customWidth="1"/>
    <col min="14851" max="14851" width="32.5546875" style="15" customWidth="1"/>
    <col min="14852" max="14852" width="21.33203125" style="15" customWidth="1"/>
    <col min="14853" max="14853" width="12.33203125" style="15" customWidth="1"/>
    <col min="14854" max="14854" width="11.109375" style="15" customWidth="1"/>
    <col min="14855" max="14855" width="16.109375" style="15" customWidth="1"/>
    <col min="14856" max="14856" width="18.33203125" style="15" customWidth="1"/>
    <col min="14857" max="14857" width="10.88671875" style="15" bestFit="1" customWidth="1"/>
    <col min="14858" max="14858" width="14.33203125" style="15" customWidth="1"/>
    <col min="14859" max="14859" width="14.44140625" style="15" bestFit="1" customWidth="1"/>
    <col min="14860" max="15102" width="8.88671875" style="15"/>
    <col min="15103" max="15103" width="1.5546875" style="15" customWidth="1"/>
    <col min="15104" max="15105" width="9.33203125" style="15" customWidth="1"/>
    <col min="15106" max="15106" width="13.44140625" style="15" customWidth="1"/>
    <col min="15107" max="15107" width="32.5546875" style="15" customWidth="1"/>
    <col min="15108" max="15108" width="21.33203125" style="15" customWidth="1"/>
    <col min="15109" max="15109" width="12.33203125" style="15" customWidth="1"/>
    <col min="15110" max="15110" width="11.109375" style="15" customWidth="1"/>
    <col min="15111" max="15111" width="16.109375" style="15" customWidth="1"/>
    <col min="15112" max="15112" width="18.33203125" style="15" customWidth="1"/>
    <col min="15113" max="15113" width="10.88671875" style="15" bestFit="1" customWidth="1"/>
    <col min="15114" max="15114" width="14.33203125" style="15" customWidth="1"/>
    <col min="15115" max="15115" width="14.44140625" style="15" bestFit="1" customWidth="1"/>
    <col min="15116" max="15358" width="8.88671875" style="15"/>
    <col min="15359" max="15359" width="1.5546875" style="15" customWidth="1"/>
    <col min="15360" max="15361" width="9.33203125" style="15" customWidth="1"/>
    <col min="15362" max="15362" width="13.44140625" style="15" customWidth="1"/>
    <col min="15363" max="15363" width="32.5546875" style="15" customWidth="1"/>
    <col min="15364" max="15364" width="21.33203125" style="15" customWidth="1"/>
    <col min="15365" max="15365" width="12.33203125" style="15" customWidth="1"/>
    <col min="15366" max="15366" width="11.109375" style="15" customWidth="1"/>
    <col min="15367" max="15367" width="16.109375" style="15" customWidth="1"/>
    <col min="15368" max="15368" width="18.33203125" style="15" customWidth="1"/>
    <col min="15369" max="15369" width="10.88671875" style="15" bestFit="1" customWidth="1"/>
    <col min="15370" max="15370" width="14.33203125" style="15" customWidth="1"/>
    <col min="15371" max="15371" width="14.44140625" style="15" bestFit="1" customWidth="1"/>
    <col min="15372" max="15614" width="8.88671875" style="15"/>
    <col min="15615" max="15615" width="1.5546875" style="15" customWidth="1"/>
    <col min="15616" max="15617" width="9.33203125" style="15" customWidth="1"/>
    <col min="15618" max="15618" width="13.44140625" style="15" customWidth="1"/>
    <col min="15619" max="15619" width="32.5546875" style="15" customWidth="1"/>
    <col min="15620" max="15620" width="21.33203125" style="15" customWidth="1"/>
    <col min="15621" max="15621" width="12.33203125" style="15" customWidth="1"/>
    <col min="15622" max="15622" width="11.109375" style="15" customWidth="1"/>
    <col min="15623" max="15623" width="16.109375" style="15" customWidth="1"/>
    <col min="15624" max="15624" width="18.33203125" style="15" customWidth="1"/>
    <col min="15625" max="15625" width="10.88671875" style="15" bestFit="1" customWidth="1"/>
    <col min="15626" max="15626" width="14.33203125" style="15" customWidth="1"/>
    <col min="15627" max="15627" width="14.44140625" style="15" bestFit="1" customWidth="1"/>
    <col min="15628" max="15870" width="8.88671875" style="15"/>
    <col min="15871" max="15871" width="1.5546875" style="15" customWidth="1"/>
    <col min="15872" max="15873" width="9.33203125" style="15" customWidth="1"/>
    <col min="15874" max="15874" width="13.44140625" style="15" customWidth="1"/>
    <col min="15875" max="15875" width="32.5546875" style="15" customWidth="1"/>
    <col min="15876" max="15876" width="21.33203125" style="15" customWidth="1"/>
    <col min="15877" max="15877" width="12.33203125" style="15" customWidth="1"/>
    <col min="15878" max="15878" width="11.109375" style="15" customWidth="1"/>
    <col min="15879" max="15879" width="16.109375" style="15" customWidth="1"/>
    <col min="15880" max="15880" width="18.33203125" style="15" customWidth="1"/>
    <col min="15881" max="15881" width="10.88671875" style="15" bestFit="1" customWidth="1"/>
    <col min="15882" max="15882" width="14.33203125" style="15" customWidth="1"/>
    <col min="15883" max="15883" width="14.44140625" style="15" bestFit="1" customWidth="1"/>
    <col min="15884" max="16126" width="8.88671875" style="15"/>
    <col min="16127" max="16127" width="1.5546875" style="15" customWidth="1"/>
    <col min="16128" max="16129" width="9.33203125" style="15" customWidth="1"/>
    <col min="16130" max="16130" width="13.44140625" style="15" customWidth="1"/>
    <col min="16131" max="16131" width="32.5546875" style="15" customWidth="1"/>
    <col min="16132" max="16132" width="21.33203125" style="15" customWidth="1"/>
    <col min="16133" max="16133" width="12.33203125" style="15" customWidth="1"/>
    <col min="16134" max="16134" width="11.109375" style="15" customWidth="1"/>
    <col min="16135" max="16135" width="16.109375" style="15" customWidth="1"/>
    <col min="16136" max="16136" width="18.33203125" style="15" customWidth="1"/>
    <col min="16137" max="16137" width="10.88671875" style="15" bestFit="1" customWidth="1"/>
    <col min="16138" max="16138" width="14.33203125" style="15" customWidth="1"/>
    <col min="16139" max="16139" width="14.44140625" style="15" bestFit="1" customWidth="1"/>
    <col min="16140" max="16384" width="8.88671875" style="15"/>
  </cols>
  <sheetData>
    <row r="1" spans="1:25" s="73" customFormat="1" ht="22.2" customHeight="1" x14ac:dyDescent="0.3">
      <c r="A1" s="71" t="s">
        <v>305</v>
      </c>
      <c r="B1" s="168" t="s">
        <v>306</v>
      </c>
      <c r="C1" s="169"/>
      <c r="D1" s="72" t="s">
        <v>302</v>
      </c>
      <c r="E1" s="192" t="s">
        <v>303</v>
      </c>
      <c r="F1" s="193"/>
      <c r="G1" s="193"/>
      <c r="H1" s="194"/>
      <c r="J1" s="74"/>
    </row>
    <row r="2" spans="1:25" s="73" customFormat="1" ht="21" customHeight="1" x14ac:dyDescent="0.3">
      <c r="A2" s="75" t="s">
        <v>307</v>
      </c>
      <c r="B2" s="176" t="s">
        <v>339</v>
      </c>
      <c r="C2" s="191"/>
      <c r="D2" s="76"/>
      <c r="E2" s="176" t="s">
        <v>345</v>
      </c>
      <c r="F2" s="177"/>
      <c r="G2" s="177"/>
      <c r="H2" s="178"/>
      <c r="J2" s="74"/>
    </row>
    <row r="3" spans="1:25" s="73" customFormat="1" ht="12.75" customHeight="1" x14ac:dyDescent="0.3">
      <c r="A3" s="75"/>
      <c r="B3" s="176" t="s">
        <v>340</v>
      </c>
      <c r="C3" s="191"/>
      <c r="D3" s="77"/>
      <c r="E3" s="179" t="s">
        <v>346</v>
      </c>
      <c r="F3" s="180"/>
      <c r="G3" s="180"/>
      <c r="H3" s="181"/>
      <c r="J3" s="16"/>
    </row>
    <row r="4" spans="1:25" s="73" customFormat="1" ht="12.75" customHeight="1" x14ac:dyDescent="0.3">
      <c r="A4" s="75"/>
      <c r="B4" s="176" t="s">
        <v>341</v>
      </c>
      <c r="C4" s="191"/>
      <c r="D4" s="78" t="s">
        <v>304</v>
      </c>
      <c r="E4" s="182"/>
      <c r="F4" s="183"/>
      <c r="G4" s="183"/>
      <c r="H4" s="184"/>
      <c r="J4" s="74"/>
    </row>
    <row r="5" spans="1:25" s="73" customFormat="1" ht="16.5" customHeight="1" x14ac:dyDescent="0.3">
      <c r="A5" s="79"/>
      <c r="B5" s="185"/>
      <c r="C5" s="212"/>
      <c r="D5" s="80" t="s">
        <v>349</v>
      </c>
      <c r="E5" s="195" t="s">
        <v>348</v>
      </c>
      <c r="F5" s="196"/>
      <c r="G5" s="196"/>
      <c r="H5" s="197"/>
      <c r="J5" s="74"/>
    </row>
    <row r="6" spans="1:25" s="73" customFormat="1" ht="14.4" customHeight="1" x14ac:dyDescent="0.3">
      <c r="A6" s="81" t="s">
        <v>309</v>
      </c>
      <c r="B6" s="210" t="s">
        <v>310</v>
      </c>
      <c r="C6" s="211"/>
      <c r="D6" s="82" t="s">
        <v>308</v>
      </c>
      <c r="E6" s="188">
        <f ca="1">TODAY()</f>
        <v>45849</v>
      </c>
      <c r="F6" s="189"/>
      <c r="G6" s="189"/>
      <c r="H6" s="190"/>
      <c r="J6" s="74"/>
    </row>
    <row r="7" spans="1:25" s="73" customFormat="1" ht="18" customHeight="1" x14ac:dyDescent="0.3">
      <c r="A7" s="81" t="s">
        <v>312</v>
      </c>
      <c r="B7" s="210" t="s">
        <v>313</v>
      </c>
      <c r="C7" s="211"/>
      <c r="D7" s="83" t="s">
        <v>351</v>
      </c>
      <c r="E7" s="198" t="s">
        <v>350</v>
      </c>
      <c r="F7" s="199"/>
      <c r="G7" s="199"/>
      <c r="H7" s="200"/>
      <c r="J7" s="74"/>
    </row>
    <row r="8" spans="1:25" s="73" customFormat="1" ht="12.75" customHeight="1" x14ac:dyDescent="0.3">
      <c r="A8" s="84"/>
      <c r="B8" s="164"/>
      <c r="C8" s="165"/>
      <c r="D8" s="85" t="s">
        <v>311</v>
      </c>
      <c r="E8" s="201" t="str">
        <f>E1</f>
        <v>Zerone Technologies Pvt Ltd</v>
      </c>
      <c r="F8" s="202"/>
      <c r="G8" s="202"/>
      <c r="H8" s="203"/>
      <c r="J8" s="74"/>
    </row>
    <row r="9" spans="1:25" s="73" customFormat="1" ht="17.399999999999999" customHeight="1" x14ac:dyDescent="0.3">
      <c r="A9" s="86"/>
      <c r="B9" s="164"/>
      <c r="C9" s="165"/>
      <c r="D9" s="87"/>
      <c r="E9" s="170" t="s">
        <v>345</v>
      </c>
      <c r="F9" s="171"/>
      <c r="G9" s="171"/>
      <c r="H9" s="172"/>
      <c r="J9" s="74"/>
    </row>
    <row r="10" spans="1:25" s="73" customFormat="1" ht="17.399999999999999" customHeight="1" x14ac:dyDescent="0.3">
      <c r="A10" s="86"/>
      <c r="B10" s="213"/>
      <c r="C10" s="214"/>
      <c r="D10" s="88"/>
      <c r="E10" s="185" t="s">
        <v>347</v>
      </c>
      <c r="F10" s="186"/>
      <c r="G10" s="186"/>
      <c r="H10" s="187"/>
      <c r="J10" s="74"/>
    </row>
    <row r="11" spans="1:25" s="73" customFormat="1" ht="17.399999999999999" customHeight="1" x14ac:dyDescent="0.3">
      <c r="A11" s="89" t="s">
        <v>314</v>
      </c>
      <c r="B11" s="166" t="s">
        <v>315</v>
      </c>
      <c r="C11" s="167"/>
      <c r="D11" s="90" t="s">
        <v>299</v>
      </c>
      <c r="E11" s="173" t="s">
        <v>352</v>
      </c>
      <c r="F11" s="174"/>
      <c r="G11" s="174"/>
      <c r="H11" s="175"/>
      <c r="J11" s="74"/>
    </row>
    <row r="12" spans="1:25" s="73" customFormat="1" ht="5.25" customHeight="1" x14ac:dyDescent="0.3">
      <c r="A12" s="91"/>
      <c r="B12" s="92"/>
      <c r="C12" s="93"/>
      <c r="D12" s="93"/>
      <c r="E12" s="93"/>
      <c r="F12" s="94"/>
      <c r="G12" s="94"/>
      <c r="H12" s="95"/>
      <c r="J12" s="74"/>
    </row>
    <row r="13" spans="1:25" s="73" customFormat="1" x14ac:dyDescent="0.3">
      <c r="A13" s="158" t="s">
        <v>316</v>
      </c>
      <c r="B13" s="159"/>
      <c r="C13" s="159"/>
      <c r="D13" s="159"/>
      <c r="E13" s="159"/>
      <c r="F13" s="159"/>
      <c r="G13" s="159"/>
      <c r="H13" s="160"/>
      <c r="J13" s="74"/>
    </row>
    <row r="14" spans="1:25" s="73" customFormat="1" ht="5.25" customHeight="1" thickBot="1" x14ac:dyDescent="0.35">
      <c r="A14" s="96"/>
      <c r="B14" s="97"/>
      <c r="C14" s="97"/>
      <c r="D14" s="97"/>
      <c r="E14" s="97"/>
      <c r="F14" s="98"/>
      <c r="G14" s="98"/>
      <c r="H14" s="99"/>
      <c r="J14" s="74"/>
    </row>
    <row r="15" spans="1:25" s="100" customFormat="1" ht="20.25" customHeight="1" x14ac:dyDescent="0.3">
      <c r="A15" s="161" t="s">
        <v>317</v>
      </c>
      <c r="B15" s="162"/>
      <c r="C15" s="162"/>
      <c r="D15" s="162"/>
      <c r="E15" s="162"/>
      <c r="F15" s="162"/>
      <c r="G15" s="162"/>
      <c r="H15" s="163"/>
      <c r="J15" s="101"/>
    </row>
    <row r="16" spans="1:25" s="18" customFormat="1" ht="17.25" customHeight="1" x14ac:dyDescent="0.3">
      <c r="A16" s="140" t="s">
        <v>274</v>
      </c>
      <c r="B16" s="102" t="s">
        <v>1</v>
      </c>
      <c r="C16" s="103" t="s">
        <v>2</v>
      </c>
      <c r="D16" s="103" t="s">
        <v>343</v>
      </c>
      <c r="E16" s="103" t="s">
        <v>344</v>
      </c>
      <c r="F16" s="103" t="s">
        <v>281</v>
      </c>
      <c r="G16" s="103" t="s">
        <v>318</v>
      </c>
      <c r="H16" s="104" t="s">
        <v>319</v>
      </c>
      <c r="I16" s="100" t="s">
        <v>354</v>
      </c>
      <c r="J16" s="142" t="s">
        <v>353</v>
      </c>
      <c r="L16" s="100"/>
      <c r="M16" s="100"/>
      <c r="N16" s="100"/>
      <c r="O16" s="100"/>
      <c r="P16" s="100"/>
      <c r="Q16" s="100"/>
      <c r="R16" s="100"/>
      <c r="S16" s="100"/>
      <c r="T16" s="100"/>
      <c r="U16" s="100"/>
      <c r="V16" s="100"/>
      <c r="W16" s="100"/>
      <c r="X16" s="100"/>
      <c r="Y16" s="100"/>
    </row>
    <row r="17" spans="1:25" x14ac:dyDescent="0.3">
      <c r="A17" s="141">
        <v>1</v>
      </c>
      <c r="B17" s="65" t="s">
        <v>26</v>
      </c>
      <c r="C17" s="138" t="str">
        <f>_xlfn.XLOOKUP(B17, BOQ!$B$2:$B$1000, BOQ!$C$2:$C$1000, "Not found")</f>
        <v>B.tech/Chief</v>
      </c>
      <c r="D17" s="138">
        <f>_xlfn.XLOOKUP(B17, BOQ!$B$2:$B$1000, BOQ!$D$2:$D$1000, "Not found")</f>
        <v>0</v>
      </c>
      <c r="E17" s="138" t="str">
        <f>_xlfn.XLOOKUP(B17, BOQ!$B$2:$B$1000, BOQ!$E$2:$E$1000, "Not found")</f>
        <v>No.</v>
      </c>
      <c r="F17" s="55">
        <v>1</v>
      </c>
      <c r="G17" s="66">
        <v>20000</v>
      </c>
      <c r="H17" s="139">
        <f>G17*F17</f>
        <v>20000</v>
      </c>
      <c r="J17" s="143">
        <f>_xlfn.XLOOKUP(B17, BOQ!$B$2:$B$1000, BOQ!$F$2:$F$1000, "Not found")</f>
        <v>3</v>
      </c>
    </row>
    <row r="18" spans="1:25" ht="96" x14ac:dyDescent="0.3">
      <c r="A18" s="141">
        <v>2</v>
      </c>
      <c r="B18" s="65" t="s">
        <v>28</v>
      </c>
      <c r="C18" s="138" t="str">
        <f>_xlfn.XLOOKUP(B18, BOQ!$B$2:$B$1000, BOQ!$C$2:$C$1000, "Not found")</f>
        <v>Samsung</v>
      </c>
      <c r="D18" s="138" t="str">
        <f>_xlfn.XLOOKUP(B18, BOQ!$B$2:$B$1000, BOQ!$D$2:$D$1000, "Not found")</f>
        <v>QM75 C</v>
      </c>
      <c r="E18" s="138" t="str">
        <f>_xlfn.XLOOKUP(B18, BOQ!$B$2:$B$1000, BOQ!$E$2:$E$1000, "Not found")</f>
        <v>No.</v>
      </c>
      <c r="F18" s="55">
        <v>9</v>
      </c>
      <c r="G18" s="66">
        <v>70000</v>
      </c>
      <c r="H18" s="139">
        <f t="shared" ref="H18:H20" si="0">G18*F18</f>
        <v>630000</v>
      </c>
      <c r="J18" s="143">
        <f>_xlfn.XLOOKUP(B18, BOQ!$B$2:$B$1000, BOQ!$F$2:$F$1000, "Not found")</f>
        <v>9</v>
      </c>
    </row>
    <row r="19" spans="1:25" ht="96" x14ac:dyDescent="0.3">
      <c r="A19" s="141">
        <v>3</v>
      </c>
      <c r="B19" s="65" t="s">
        <v>24</v>
      </c>
      <c r="C19" s="138" t="str">
        <f>_xlfn.XLOOKUP(B19, BOQ!$B$2:$B$1000, BOQ!$C$2:$C$1000, "Not found")</f>
        <v>Samsung</v>
      </c>
      <c r="D19" s="138" t="str">
        <f>_xlfn.XLOOKUP(B19, BOQ!$B$2:$B$1000, BOQ!$D$2:$D$1000, "Not found")</f>
        <v>QM65 C</v>
      </c>
      <c r="E19" s="138" t="str">
        <f>_xlfn.XLOOKUP(B19, BOQ!$B$2:$B$1000, BOQ!$E$2:$E$1000, "Not found")</f>
        <v>No.</v>
      </c>
      <c r="F19" s="55">
        <v>2</v>
      </c>
      <c r="G19" s="66">
        <v>10000</v>
      </c>
      <c r="H19" s="139">
        <f t="shared" si="0"/>
        <v>20000</v>
      </c>
      <c r="J19" s="143">
        <f>_xlfn.XLOOKUP(B19, BOQ!$B$2:$B$1000, BOQ!$F$2:$F$1000, "Not found")</f>
        <v>30</v>
      </c>
    </row>
    <row r="20" spans="1:25" x14ac:dyDescent="0.3">
      <c r="A20" s="141">
        <v>4</v>
      </c>
      <c r="B20" s="65"/>
      <c r="C20" s="138">
        <f>_xlfn.XLOOKUP(B20, BOQ!$B$2:$B$1000, BOQ!$C$2:$C$1000, "Not found")</f>
        <v>0</v>
      </c>
      <c r="D20" s="138">
        <f>_xlfn.XLOOKUP(B20, BOQ!$B$2:$B$1000, BOQ!$D$2:$D$1000, "Not found")</f>
        <v>0</v>
      </c>
      <c r="E20" s="138">
        <f>_xlfn.XLOOKUP(B20, BOQ!$B$2:$B$1000, BOQ!$E$2:$E$1000, "Not found")</f>
        <v>0</v>
      </c>
      <c r="F20" s="55">
        <v>4</v>
      </c>
      <c r="G20" s="66">
        <v>78900</v>
      </c>
      <c r="H20" s="139">
        <f t="shared" si="0"/>
        <v>315600</v>
      </c>
      <c r="J20" s="143">
        <f>_xlfn.XLOOKUP(B20, BOQ!$B$2:$B$1000, BOQ!$F$2:$F$1000, "Not found")</f>
        <v>0</v>
      </c>
    </row>
    <row r="21" spans="1:25" ht="72" x14ac:dyDescent="0.3">
      <c r="A21" s="141">
        <v>5</v>
      </c>
      <c r="B21" s="65" t="s">
        <v>256</v>
      </c>
      <c r="C21" s="138" t="str">
        <f>_xlfn.XLOOKUP(B21, BOQ!$B$2:$B$1000, BOQ!$C$2:$C$1000, "Not found")</f>
        <v>Polycab</v>
      </c>
      <c r="D21" s="138">
        <f>_xlfn.XLOOKUP(B21, BOQ!$B$2:$B$1000, BOQ!$D$2:$D$1000, "Not found")</f>
        <v>0</v>
      </c>
      <c r="E21" s="138" t="str">
        <f>_xlfn.XLOOKUP(B21, BOQ!$B$2:$B$1000, BOQ!$E$2:$E$1000, "Not found")</f>
        <v>Mtr</v>
      </c>
      <c r="F21" s="55">
        <v>2000</v>
      </c>
      <c r="G21" s="66"/>
      <c r="H21" s="139"/>
      <c r="J21" s="143">
        <f>_xlfn.XLOOKUP(B21, BOQ!$B$2:$B$1000, BOQ!$F$2:$F$1000, "Not found")</f>
        <v>2000</v>
      </c>
    </row>
    <row r="22" spans="1:25" x14ac:dyDescent="0.3">
      <c r="A22" s="141"/>
      <c r="B22" s="65"/>
      <c r="C22" s="138">
        <f>_xlfn.XLOOKUP(B22, BOQ!$B$2:$B$1000, BOQ!$C$2:$C$1000, "Not found")</f>
        <v>0</v>
      </c>
      <c r="D22" s="138">
        <f>_xlfn.XLOOKUP(B22, BOQ!$B$2:$B$1000, BOQ!$D$2:$D$1000, "Not found")</f>
        <v>0</v>
      </c>
      <c r="E22" s="138">
        <f>_xlfn.XLOOKUP(B22, BOQ!$B$2:$B$1000, BOQ!$E$2:$E$1000, "Not found")</f>
        <v>0</v>
      </c>
      <c r="F22" s="55"/>
      <c r="G22" s="66"/>
      <c r="H22" s="139">
        <f>G22*F22</f>
        <v>0</v>
      </c>
      <c r="J22" s="143">
        <f>_xlfn.XLOOKUP(B22, BOQ!$B$2:$B$1000, BOQ!$F$2:$F$1000, "Not found")</f>
        <v>0</v>
      </c>
    </row>
    <row r="23" spans="1:25" x14ac:dyDescent="0.3">
      <c r="A23" s="141"/>
      <c r="B23" s="65"/>
      <c r="C23" s="138">
        <f>_xlfn.XLOOKUP(B23, BOQ!$B$2:$B$1000, BOQ!$C$2:$C$1000, "Not found")</f>
        <v>0</v>
      </c>
      <c r="D23" s="138">
        <f>_xlfn.XLOOKUP(B23, BOQ!$B$2:$B$1000, BOQ!$D$2:$D$1000, "Not found")</f>
        <v>0</v>
      </c>
      <c r="E23" s="138">
        <f>_xlfn.XLOOKUP(B23, BOQ!$B$2:$B$1000, BOQ!$E$2:$E$1000, "Not found")</f>
        <v>0</v>
      </c>
      <c r="F23" s="55"/>
      <c r="G23" s="66"/>
      <c r="H23" s="139">
        <f>G23*F23</f>
        <v>0</v>
      </c>
      <c r="J23" s="143">
        <f>_xlfn.XLOOKUP(B23, BOQ!$B$2:$B$1000, BOQ!$F$2:$F$1000, "Not found")</f>
        <v>0</v>
      </c>
    </row>
    <row r="24" spans="1:25" s="18" customFormat="1" ht="15.75" customHeight="1" x14ac:dyDescent="0.3">
      <c r="A24" s="105" t="s">
        <v>320</v>
      </c>
      <c r="B24" s="106"/>
      <c r="C24" s="106"/>
      <c r="D24" s="107"/>
      <c r="E24" s="67"/>
      <c r="F24" s="68"/>
      <c r="G24" s="108" t="s">
        <v>287</v>
      </c>
      <c r="H24" s="109">
        <f>SUM(H17:H23)</f>
        <v>985600</v>
      </c>
      <c r="I24" s="100"/>
      <c r="J24" s="110"/>
      <c r="L24" s="100"/>
      <c r="M24" s="100"/>
      <c r="N24" s="100"/>
      <c r="O24" s="100"/>
      <c r="P24" s="100"/>
      <c r="Q24" s="100"/>
      <c r="R24" s="100"/>
      <c r="S24" s="100"/>
      <c r="T24" s="100"/>
      <c r="U24" s="100"/>
      <c r="V24" s="100"/>
      <c r="W24" s="100"/>
      <c r="X24" s="100"/>
      <c r="Y24" s="100"/>
    </row>
    <row r="25" spans="1:25" ht="15.75" customHeight="1" x14ac:dyDescent="0.3">
      <c r="A25" s="111" t="s">
        <v>321</v>
      </c>
      <c r="B25" s="112"/>
      <c r="C25" s="112"/>
      <c r="D25" s="113"/>
      <c r="E25" s="227" t="s">
        <v>322</v>
      </c>
      <c r="F25" s="228"/>
      <c r="G25" s="69"/>
      <c r="H25" s="114"/>
    </row>
    <row r="26" spans="1:25" ht="31.5" customHeight="1" x14ac:dyDescent="0.3">
      <c r="A26" s="115" t="s">
        <v>323</v>
      </c>
      <c r="B26" s="112"/>
      <c r="C26" s="112"/>
      <c r="D26" s="113"/>
      <c r="E26" s="229" t="s">
        <v>324</v>
      </c>
      <c r="F26" s="230"/>
      <c r="G26" s="69"/>
      <c r="H26" s="116">
        <f>H24-H25</f>
        <v>985600</v>
      </c>
      <c r="J26" s="117"/>
    </row>
    <row r="27" spans="1:25" ht="20.25" customHeight="1" x14ac:dyDescent="0.3">
      <c r="A27" s="115" t="s">
        <v>325</v>
      </c>
      <c r="B27" s="112"/>
      <c r="C27" s="112"/>
      <c r="D27" s="113"/>
      <c r="E27" s="231" t="s">
        <v>326</v>
      </c>
      <c r="F27" s="232"/>
      <c r="G27" s="69">
        <v>0.09</v>
      </c>
      <c r="H27" s="118">
        <f>H26*G27</f>
        <v>88704</v>
      </c>
      <c r="I27" s="70"/>
      <c r="J27" s="117"/>
    </row>
    <row r="28" spans="1:25" ht="20.25" customHeight="1" x14ac:dyDescent="0.3">
      <c r="A28" s="119"/>
      <c r="B28" s="120"/>
      <c r="C28" s="120"/>
      <c r="D28" s="121"/>
      <c r="E28" s="233"/>
      <c r="F28" s="234"/>
      <c r="G28" s="69">
        <v>0.09</v>
      </c>
      <c r="H28" s="118">
        <f>H26*G28</f>
        <v>88704</v>
      </c>
      <c r="I28" s="70"/>
    </row>
    <row r="29" spans="1:25" s="18" customFormat="1" ht="24.6" customHeight="1" x14ac:dyDescent="0.3">
      <c r="A29" s="122" t="s">
        <v>338</v>
      </c>
      <c r="B29" s="207" t="str" cm="1">
        <f t="array" ref="B29">SpellIndian(H29)</f>
        <v>Rupees Eleven Lakh Sixty Three Thousand Eight Only</v>
      </c>
      <c r="C29" s="208"/>
      <c r="D29" s="208"/>
      <c r="E29" s="208"/>
      <c r="F29" s="209"/>
      <c r="G29" s="123" t="s">
        <v>327</v>
      </c>
      <c r="H29" s="124">
        <f>ROUND(SUM(H26:H28),0)</f>
        <v>1163008</v>
      </c>
      <c r="I29" s="100"/>
      <c r="J29" s="101"/>
      <c r="L29" s="100"/>
      <c r="M29" s="100"/>
      <c r="N29" s="100"/>
      <c r="O29" s="100"/>
      <c r="P29" s="100"/>
      <c r="Q29" s="100"/>
      <c r="R29" s="100"/>
      <c r="S29" s="100"/>
      <c r="T29" s="100"/>
      <c r="U29" s="100"/>
      <c r="V29" s="100"/>
      <c r="W29" s="100"/>
      <c r="X29" s="100"/>
      <c r="Y29" s="100"/>
    </row>
    <row r="30" spans="1:25" s="73" customFormat="1" x14ac:dyDescent="0.3">
      <c r="A30" s="125"/>
      <c r="F30" s="74"/>
      <c r="G30" s="74"/>
      <c r="H30" s="126"/>
      <c r="J30" s="74"/>
    </row>
    <row r="31" spans="1:25" s="100" customFormat="1" ht="13.8" x14ac:dyDescent="0.3">
      <c r="A31" s="235" t="s">
        <v>342</v>
      </c>
      <c r="B31" s="236"/>
      <c r="C31" s="236"/>
      <c r="D31" s="236"/>
      <c r="E31" s="236"/>
      <c r="F31" s="236"/>
      <c r="G31" s="236"/>
      <c r="H31" s="237"/>
      <c r="J31" s="101"/>
    </row>
    <row r="32" spans="1:25" s="73" customFormat="1" x14ac:dyDescent="0.3">
      <c r="A32" s="127"/>
      <c r="B32" s="128"/>
      <c r="C32" s="128"/>
      <c r="D32" s="128"/>
      <c r="E32" s="128"/>
      <c r="F32" s="129"/>
      <c r="G32" s="129"/>
      <c r="H32" s="130"/>
      <c r="J32" s="74"/>
    </row>
    <row r="33" spans="1:10" s="73" customFormat="1" x14ac:dyDescent="0.3">
      <c r="A33" s="131">
        <v>1</v>
      </c>
      <c r="B33" s="132" t="s">
        <v>328</v>
      </c>
      <c r="C33" s="128"/>
      <c r="D33" s="128"/>
      <c r="E33" s="128"/>
      <c r="F33" s="129"/>
      <c r="G33" s="129"/>
      <c r="H33" s="130"/>
      <c r="J33" s="74"/>
    </row>
    <row r="34" spans="1:10" s="73" customFormat="1" x14ac:dyDescent="0.3">
      <c r="A34" s="131">
        <v>2</v>
      </c>
      <c r="B34" s="133" t="s">
        <v>329</v>
      </c>
      <c r="C34" s="128"/>
      <c r="D34" s="128"/>
      <c r="E34" s="128"/>
      <c r="F34" s="129"/>
      <c r="G34" s="129"/>
      <c r="H34" s="130"/>
      <c r="J34" s="74"/>
    </row>
    <row r="35" spans="1:10" s="73" customFormat="1" x14ac:dyDescent="0.3">
      <c r="A35" s="131">
        <v>3</v>
      </c>
      <c r="B35" s="132" t="s">
        <v>330</v>
      </c>
      <c r="C35" s="128"/>
      <c r="D35" s="128"/>
      <c r="E35" s="128"/>
      <c r="F35" s="129"/>
      <c r="G35" s="129"/>
      <c r="H35" s="130"/>
      <c r="J35" s="74"/>
    </row>
    <row r="36" spans="1:10" s="73" customFormat="1" x14ac:dyDescent="0.3">
      <c r="A36" s="131">
        <v>4</v>
      </c>
      <c r="B36" s="132" t="s">
        <v>331</v>
      </c>
      <c r="C36" s="128"/>
      <c r="D36" s="128"/>
      <c r="E36" s="128"/>
      <c r="F36" s="129"/>
      <c r="G36" s="129"/>
      <c r="H36" s="130"/>
      <c r="J36" s="74"/>
    </row>
    <row r="37" spans="1:10" s="73" customFormat="1" x14ac:dyDescent="0.3">
      <c r="A37" s="131">
        <v>5</v>
      </c>
      <c r="B37" s="132" t="s">
        <v>332</v>
      </c>
      <c r="C37" s="128"/>
      <c r="D37" s="128"/>
      <c r="E37" s="128"/>
      <c r="F37" s="129"/>
      <c r="G37" s="129"/>
      <c r="H37" s="130"/>
      <c r="J37" s="74"/>
    </row>
    <row r="38" spans="1:10" s="73" customFormat="1" x14ac:dyDescent="0.3">
      <c r="A38" s="131">
        <v>6</v>
      </c>
      <c r="B38" s="132" t="s">
        <v>333</v>
      </c>
      <c r="F38" s="74"/>
      <c r="G38" s="74"/>
      <c r="H38" s="126"/>
      <c r="J38" s="74"/>
    </row>
    <row r="39" spans="1:10" s="73" customFormat="1" x14ac:dyDescent="0.3">
      <c r="A39" s="131"/>
      <c r="B39" s="132"/>
      <c r="F39" s="74"/>
      <c r="G39" s="74"/>
      <c r="H39" s="126"/>
      <c r="J39" s="74"/>
    </row>
    <row r="40" spans="1:10" s="73" customFormat="1" ht="17.25" customHeight="1" x14ac:dyDescent="0.3">
      <c r="A40" s="216"/>
      <c r="B40" s="217"/>
      <c r="C40" s="217"/>
      <c r="D40" s="217"/>
      <c r="E40" s="217"/>
      <c r="F40" s="217"/>
      <c r="G40" s="217"/>
      <c r="H40" s="218"/>
      <c r="J40" s="74"/>
    </row>
    <row r="41" spans="1:10" s="100" customFormat="1" ht="17.25" customHeight="1" x14ac:dyDescent="0.3">
      <c r="A41" s="219" t="str">
        <f>E1</f>
        <v>Zerone Technologies Pvt Ltd</v>
      </c>
      <c r="B41" s="220"/>
      <c r="C41" s="220"/>
      <c r="D41" s="220"/>
      <c r="E41" s="220"/>
      <c r="F41" s="221" t="str">
        <f>B1</f>
        <v>DigiMRO Distribution (India) Pvt. Ltd.</v>
      </c>
      <c r="G41" s="222"/>
      <c r="H41" s="223"/>
      <c r="J41" s="101"/>
    </row>
    <row r="42" spans="1:10" s="100" customFormat="1" ht="14.4" customHeight="1" x14ac:dyDescent="0.3">
      <c r="A42" s="135" t="s">
        <v>334</v>
      </c>
      <c r="B42" s="134" t="s">
        <v>335</v>
      </c>
      <c r="C42" s="224" t="s">
        <v>336</v>
      </c>
      <c r="D42" s="225"/>
      <c r="E42" s="226"/>
      <c r="F42" s="221" t="s">
        <v>337</v>
      </c>
      <c r="G42" s="222"/>
      <c r="H42" s="223"/>
      <c r="J42" s="101"/>
    </row>
    <row r="43" spans="1:10" s="73" customFormat="1" ht="117.6" customHeight="1" thickBot="1" x14ac:dyDescent="0.35">
      <c r="A43" s="136"/>
      <c r="B43" s="137"/>
      <c r="C43" s="204"/>
      <c r="D43" s="205"/>
      <c r="E43" s="206"/>
      <c r="F43" s="204"/>
      <c r="G43" s="205"/>
      <c r="H43" s="215"/>
      <c r="J43" s="74"/>
    </row>
    <row r="44" spans="1:10" s="73" customFormat="1" x14ac:dyDescent="0.3">
      <c r="F44" s="74"/>
      <c r="G44" s="74"/>
      <c r="H44" s="74"/>
      <c r="J44" s="74"/>
    </row>
    <row r="45" spans="1:10" s="73" customFormat="1" x14ac:dyDescent="0.3">
      <c r="F45" s="74"/>
      <c r="G45" s="74"/>
      <c r="H45" s="74"/>
      <c r="J45" s="74"/>
    </row>
    <row r="46" spans="1:10" s="73" customFormat="1" x14ac:dyDescent="0.3">
      <c r="F46" s="74"/>
      <c r="G46" s="74"/>
      <c r="H46" s="74"/>
      <c r="J46" s="74"/>
    </row>
    <row r="47" spans="1:10" s="73" customFormat="1" x14ac:dyDescent="0.3">
      <c r="F47" s="74"/>
      <c r="G47" s="74"/>
      <c r="H47" s="74"/>
      <c r="J47" s="74"/>
    </row>
    <row r="48" spans="1:10" s="73" customFormat="1" x14ac:dyDescent="0.3">
      <c r="F48" s="74"/>
      <c r="G48" s="74"/>
      <c r="H48" s="74"/>
      <c r="J48" s="74"/>
    </row>
    <row r="49" spans="6:10" s="73" customFormat="1" x14ac:dyDescent="0.3">
      <c r="F49" s="74"/>
      <c r="G49" s="74"/>
      <c r="H49" s="74"/>
      <c r="J49" s="74"/>
    </row>
    <row r="50" spans="6:10" s="73" customFormat="1" x14ac:dyDescent="0.3">
      <c r="F50" s="74"/>
      <c r="G50" s="74"/>
      <c r="H50" s="74"/>
      <c r="J50" s="74"/>
    </row>
    <row r="51" spans="6:10" s="73" customFormat="1" x14ac:dyDescent="0.3">
      <c r="F51" s="74"/>
      <c r="G51" s="74"/>
      <c r="H51" s="74"/>
      <c r="J51" s="74"/>
    </row>
    <row r="52" spans="6:10" s="73" customFormat="1" x14ac:dyDescent="0.3">
      <c r="F52" s="74"/>
      <c r="G52" s="74"/>
      <c r="H52" s="74"/>
      <c r="J52" s="74"/>
    </row>
    <row r="53" spans="6:10" s="73" customFormat="1" x14ac:dyDescent="0.3">
      <c r="F53" s="74"/>
      <c r="G53" s="74"/>
      <c r="H53" s="74"/>
      <c r="J53" s="74"/>
    </row>
    <row r="54" spans="6:10" s="73" customFormat="1" x14ac:dyDescent="0.3">
      <c r="F54" s="74"/>
      <c r="G54" s="74"/>
      <c r="H54" s="74"/>
      <c r="J54" s="74"/>
    </row>
    <row r="55" spans="6:10" s="73" customFormat="1" x14ac:dyDescent="0.3">
      <c r="F55" s="74"/>
      <c r="G55" s="74"/>
      <c r="H55" s="74"/>
      <c r="J55" s="74"/>
    </row>
    <row r="56" spans="6:10" s="73" customFormat="1" x14ac:dyDescent="0.3">
      <c r="F56" s="74"/>
      <c r="G56" s="74"/>
      <c r="H56" s="74"/>
      <c r="J56" s="74"/>
    </row>
    <row r="57" spans="6:10" s="73" customFormat="1" x14ac:dyDescent="0.3">
      <c r="F57" s="74"/>
      <c r="G57" s="74"/>
      <c r="H57" s="74"/>
      <c r="J57" s="74"/>
    </row>
    <row r="58" spans="6:10" s="73" customFormat="1" x14ac:dyDescent="0.3"/>
    <row r="59" spans="6:10" s="73" customFormat="1" x14ac:dyDescent="0.3">
      <c r="F59" s="74"/>
      <c r="G59" s="74"/>
      <c r="H59" s="74"/>
      <c r="J59" s="74"/>
    </row>
    <row r="60" spans="6:10" s="73" customFormat="1" x14ac:dyDescent="0.3">
      <c r="F60" s="74"/>
      <c r="G60" s="74"/>
      <c r="H60" s="74"/>
      <c r="J60" s="74"/>
    </row>
    <row r="61" spans="6:10" s="73" customFormat="1" x14ac:dyDescent="0.3">
      <c r="F61" s="74"/>
      <c r="G61" s="74"/>
      <c r="H61" s="74"/>
      <c r="J61" s="74"/>
    </row>
    <row r="62" spans="6:10" s="73" customFormat="1" x14ac:dyDescent="0.3">
      <c r="F62" s="74"/>
      <c r="G62" s="74"/>
      <c r="H62" s="74"/>
      <c r="J62" s="74"/>
    </row>
    <row r="63" spans="6:10" s="73" customFormat="1" x14ac:dyDescent="0.3">
      <c r="F63" s="74"/>
      <c r="G63" s="74"/>
      <c r="H63" s="74"/>
      <c r="J63" s="74"/>
    </row>
    <row r="64" spans="6:10" s="73" customFormat="1" x14ac:dyDescent="0.3">
      <c r="F64" s="74"/>
      <c r="G64" s="74"/>
      <c r="H64" s="74"/>
      <c r="J64" s="74"/>
    </row>
    <row r="65" spans="6:10" s="73" customFormat="1" x14ac:dyDescent="0.3">
      <c r="F65" s="74"/>
      <c r="G65" s="74"/>
      <c r="H65" s="74"/>
      <c r="J65" s="74"/>
    </row>
    <row r="66" spans="6:10" s="73" customFormat="1" x14ac:dyDescent="0.3">
      <c r="F66" s="74"/>
      <c r="G66" s="74"/>
      <c r="H66" s="74"/>
      <c r="J66" s="74"/>
    </row>
    <row r="67" spans="6:10" s="73" customFormat="1" x14ac:dyDescent="0.3">
      <c r="F67" s="74"/>
      <c r="G67" s="74"/>
      <c r="H67" s="74"/>
      <c r="J67" s="74"/>
    </row>
    <row r="68" spans="6:10" s="73" customFormat="1" x14ac:dyDescent="0.3">
      <c r="F68" s="74"/>
      <c r="G68" s="74"/>
      <c r="H68" s="74"/>
      <c r="J68" s="74"/>
    </row>
    <row r="69" spans="6:10" s="73" customFormat="1" x14ac:dyDescent="0.3">
      <c r="F69" s="74"/>
      <c r="G69" s="74"/>
      <c r="H69" s="74"/>
      <c r="J69" s="74"/>
    </row>
    <row r="70" spans="6:10" s="73" customFormat="1" x14ac:dyDescent="0.3">
      <c r="F70" s="74"/>
      <c r="G70" s="74"/>
      <c r="H70" s="74"/>
      <c r="J70" s="74"/>
    </row>
    <row r="71" spans="6:10" s="73" customFormat="1" x14ac:dyDescent="0.3">
      <c r="F71" s="74"/>
      <c r="G71" s="74"/>
      <c r="H71" s="74"/>
      <c r="J71" s="74"/>
    </row>
    <row r="72" spans="6:10" s="73" customFormat="1" x14ac:dyDescent="0.3">
      <c r="F72" s="74"/>
      <c r="G72" s="74"/>
      <c r="H72" s="74"/>
      <c r="J72" s="74"/>
    </row>
    <row r="73" spans="6:10" s="73" customFormat="1" x14ac:dyDescent="0.3">
      <c r="F73" s="74"/>
      <c r="G73" s="74"/>
      <c r="H73" s="74"/>
      <c r="J73" s="74"/>
    </row>
    <row r="74" spans="6:10" s="73" customFormat="1" x14ac:dyDescent="0.3">
      <c r="F74" s="74"/>
      <c r="G74" s="74"/>
      <c r="H74" s="74"/>
      <c r="J74" s="74"/>
    </row>
    <row r="75" spans="6:10" s="73" customFormat="1" x14ac:dyDescent="0.3">
      <c r="F75" s="74"/>
      <c r="G75" s="74"/>
      <c r="H75" s="74"/>
      <c r="J75" s="74"/>
    </row>
    <row r="76" spans="6:10" s="73" customFormat="1" x14ac:dyDescent="0.3">
      <c r="F76" s="74"/>
      <c r="G76" s="74"/>
      <c r="H76" s="74"/>
      <c r="J76" s="74"/>
    </row>
    <row r="77" spans="6:10" s="73" customFormat="1" x14ac:dyDescent="0.3">
      <c r="F77" s="74"/>
      <c r="G77" s="74"/>
      <c r="H77" s="74"/>
      <c r="J77" s="74"/>
    </row>
    <row r="78" spans="6:10" s="73" customFormat="1" x14ac:dyDescent="0.3">
      <c r="F78" s="74"/>
      <c r="G78" s="74"/>
      <c r="H78" s="74"/>
      <c r="J78" s="74"/>
    </row>
    <row r="79" spans="6:10" s="73" customFormat="1" x14ac:dyDescent="0.3">
      <c r="F79" s="74"/>
      <c r="G79" s="74"/>
      <c r="H79" s="74"/>
      <c r="J79" s="74"/>
    </row>
    <row r="80" spans="6:10" s="73" customFormat="1" x14ac:dyDescent="0.3">
      <c r="F80" s="74"/>
      <c r="G80" s="74"/>
      <c r="H80" s="74"/>
      <c r="J80" s="74"/>
    </row>
    <row r="81" spans="6:10" s="73" customFormat="1" x14ac:dyDescent="0.3">
      <c r="F81" s="74"/>
      <c r="G81" s="74"/>
      <c r="H81" s="74"/>
      <c r="J81" s="74"/>
    </row>
    <row r="82" spans="6:10" s="73" customFormat="1" x14ac:dyDescent="0.3">
      <c r="F82" s="74"/>
      <c r="G82" s="74"/>
      <c r="H82" s="74"/>
      <c r="J82" s="74"/>
    </row>
    <row r="83" spans="6:10" s="73" customFormat="1" x14ac:dyDescent="0.3">
      <c r="F83" s="74"/>
      <c r="G83" s="74"/>
      <c r="H83" s="74"/>
      <c r="J83" s="74"/>
    </row>
    <row r="84" spans="6:10" s="73" customFormat="1" x14ac:dyDescent="0.3">
      <c r="F84" s="74"/>
      <c r="G84" s="74"/>
      <c r="H84" s="74"/>
      <c r="J84" s="74"/>
    </row>
    <row r="85" spans="6:10" s="73" customFormat="1" x14ac:dyDescent="0.3">
      <c r="F85" s="74"/>
      <c r="G85" s="74"/>
      <c r="H85" s="74"/>
      <c r="J85" s="74"/>
    </row>
    <row r="86" spans="6:10" s="73" customFormat="1" x14ac:dyDescent="0.3">
      <c r="F86" s="74"/>
      <c r="G86" s="74"/>
      <c r="H86" s="74"/>
      <c r="J86" s="74"/>
    </row>
    <row r="87" spans="6:10" s="73" customFormat="1" x14ac:dyDescent="0.3">
      <c r="F87" s="74"/>
      <c r="G87" s="74"/>
      <c r="H87" s="74"/>
      <c r="J87" s="74"/>
    </row>
    <row r="88" spans="6:10" s="73" customFormat="1" x14ac:dyDescent="0.3">
      <c r="F88" s="74"/>
      <c r="G88" s="74"/>
      <c r="H88" s="74"/>
      <c r="J88" s="74"/>
    </row>
    <row r="89" spans="6:10" s="73" customFormat="1" x14ac:dyDescent="0.3">
      <c r="F89" s="74"/>
      <c r="G89" s="74"/>
      <c r="H89" s="74"/>
      <c r="J89" s="74"/>
    </row>
    <row r="90" spans="6:10" s="73" customFormat="1" x14ac:dyDescent="0.3">
      <c r="F90" s="74"/>
      <c r="G90" s="74"/>
      <c r="H90" s="74"/>
      <c r="J90" s="74"/>
    </row>
    <row r="91" spans="6:10" s="73" customFormat="1" x14ac:dyDescent="0.3">
      <c r="F91" s="74"/>
      <c r="G91" s="74"/>
      <c r="H91" s="74"/>
      <c r="J91" s="74"/>
    </row>
    <row r="92" spans="6:10" s="73" customFormat="1" x14ac:dyDescent="0.3">
      <c r="F92" s="74"/>
      <c r="G92" s="74"/>
      <c r="H92" s="74"/>
      <c r="J92" s="74"/>
    </row>
    <row r="93" spans="6:10" s="73" customFormat="1" x14ac:dyDescent="0.3">
      <c r="F93" s="74"/>
      <c r="G93" s="74"/>
      <c r="H93" s="74"/>
      <c r="J93" s="74"/>
    </row>
    <row r="94" spans="6:10" s="73" customFormat="1" x14ac:dyDescent="0.3">
      <c r="F94" s="74"/>
      <c r="G94" s="74"/>
      <c r="H94" s="74"/>
      <c r="J94" s="74"/>
    </row>
    <row r="95" spans="6:10" s="73" customFormat="1" x14ac:dyDescent="0.3">
      <c r="F95" s="74"/>
      <c r="G95" s="74"/>
      <c r="H95" s="74"/>
      <c r="J95" s="74"/>
    </row>
    <row r="96" spans="6:10" s="73" customFormat="1" x14ac:dyDescent="0.3">
      <c r="F96" s="74"/>
      <c r="G96" s="74"/>
      <c r="H96" s="74"/>
      <c r="J96" s="74"/>
    </row>
    <row r="97" spans="6:10" s="73" customFormat="1" x14ac:dyDescent="0.3">
      <c r="F97" s="74"/>
      <c r="G97" s="74"/>
      <c r="H97" s="74"/>
      <c r="J97" s="74"/>
    </row>
    <row r="98" spans="6:10" s="73" customFormat="1" x14ac:dyDescent="0.3">
      <c r="F98" s="74"/>
      <c r="G98" s="74"/>
      <c r="H98" s="74"/>
      <c r="J98" s="74"/>
    </row>
    <row r="99" spans="6:10" s="73" customFormat="1" x14ac:dyDescent="0.3">
      <c r="F99" s="74"/>
      <c r="G99" s="74"/>
      <c r="H99" s="74"/>
      <c r="J99" s="74"/>
    </row>
    <row r="100" spans="6:10" s="73" customFormat="1" x14ac:dyDescent="0.3">
      <c r="F100" s="74"/>
      <c r="G100" s="74"/>
      <c r="H100" s="74"/>
      <c r="J100" s="74"/>
    </row>
    <row r="101" spans="6:10" s="73" customFormat="1" x14ac:dyDescent="0.3">
      <c r="F101" s="74"/>
      <c r="G101" s="74"/>
      <c r="H101" s="74"/>
      <c r="J101" s="74"/>
    </row>
    <row r="102" spans="6:10" s="73" customFormat="1" x14ac:dyDescent="0.3">
      <c r="F102" s="74"/>
      <c r="G102" s="74"/>
      <c r="H102" s="74"/>
      <c r="J102" s="74"/>
    </row>
    <row r="103" spans="6:10" s="73" customFormat="1" x14ac:dyDescent="0.3">
      <c r="F103" s="74"/>
      <c r="G103" s="74"/>
      <c r="H103" s="74"/>
      <c r="J103" s="74"/>
    </row>
    <row r="104" spans="6:10" s="73" customFormat="1" x14ac:dyDescent="0.3">
      <c r="F104" s="74"/>
      <c r="G104" s="74"/>
      <c r="H104" s="74"/>
      <c r="J104" s="74"/>
    </row>
    <row r="105" spans="6:10" s="73" customFormat="1" x14ac:dyDescent="0.3">
      <c r="F105" s="74"/>
      <c r="G105" s="74"/>
      <c r="H105" s="74"/>
      <c r="J105" s="74"/>
    </row>
    <row r="106" spans="6:10" s="73" customFormat="1" x14ac:dyDescent="0.3">
      <c r="F106" s="74"/>
      <c r="G106" s="74"/>
      <c r="H106" s="74"/>
      <c r="J106" s="74"/>
    </row>
    <row r="107" spans="6:10" s="73" customFormat="1" x14ac:dyDescent="0.3">
      <c r="F107" s="74"/>
      <c r="G107" s="74"/>
      <c r="H107" s="74"/>
      <c r="J107" s="74"/>
    </row>
    <row r="108" spans="6:10" s="73" customFormat="1" x14ac:dyDescent="0.3">
      <c r="F108" s="74"/>
      <c r="G108" s="74"/>
      <c r="H108" s="74"/>
      <c r="J108" s="74"/>
    </row>
    <row r="109" spans="6:10" s="73" customFormat="1" x14ac:dyDescent="0.3">
      <c r="F109" s="74"/>
      <c r="G109" s="74"/>
      <c r="H109" s="74"/>
      <c r="J109" s="74"/>
    </row>
    <row r="110" spans="6:10" s="73" customFormat="1" x14ac:dyDescent="0.3">
      <c r="F110" s="74"/>
      <c r="G110" s="74"/>
      <c r="H110" s="74"/>
      <c r="J110" s="16"/>
    </row>
    <row r="111" spans="6:10" s="73" customFormat="1" x14ac:dyDescent="0.3">
      <c r="F111" s="74"/>
      <c r="G111" s="74"/>
      <c r="H111" s="74"/>
      <c r="J111" s="74"/>
    </row>
    <row r="112" spans="6:10" s="73" customFormat="1" x14ac:dyDescent="0.3">
      <c r="F112" s="74"/>
      <c r="G112" s="74"/>
      <c r="H112" s="74"/>
      <c r="J112" s="74"/>
    </row>
    <row r="113" spans="6:10" s="73" customFormat="1" x14ac:dyDescent="0.3">
      <c r="F113" s="74"/>
      <c r="G113" s="74"/>
      <c r="H113" s="74"/>
      <c r="J113" s="74"/>
    </row>
    <row r="114" spans="6:10" s="73" customFormat="1" x14ac:dyDescent="0.3">
      <c r="F114" s="74"/>
      <c r="G114" s="74"/>
      <c r="H114" s="74"/>
      <c r="J114" s="74"/>
    </row>
    <row r="115" spans="6:10" s="73" customFormat="1" x14ac:dyDescent="0.3">
      <c r="F115" s="74"/>
      <c r="G115" s="74"/>
      <c r="H115" s="74"/>
      <c r="J115" s="74"/>
    </row>
    <row r="116" spans="6:10" s="73" customFormat="1" x14ac:dyDescent="0.3">
      <c r="F116" s="74"/>
      <c r="G116" s="74"/>
      <c r="H116" s="74"/>
      <c r="J116" s="74"/>
    </row>
    <row r="117" spans="6:10" s="73" customFormat="1" x14ac:dyDescent="0.3">
      <c r="F117" s="74"/>
      <c r="G117" s="74"/>
      <c r="H117" s="74"/>
      <c r="J117" s="74"/>
    </row>
    <row r="118" spans="6:10" s="73" customFormat="1" x14ac:dyDescent="0.3">
      <c r="F118" s="74"/>
      <c r="G118" s="74"/>
      <c r="H118" s="74"/>
      <c r="J118" s="74"/>
    </row>
    <row r="119" spans="6:10" s="73" customFormat="1" x14ac:dyDescent="0.3">
      <c r="F119" s="74"/>
      <c r="G119" s="74"/>
      <c r="H119" s="74"/>
      <c r="J119" s="74"/>
    </row>
    <row r="120" spans="6:10" s="73" customFormat="1" x14ac:dyDescent="0.3">
      <c r="F120" s="74"/>
      <c r="G120" s="74"/>
      <c r="H120" s="74"/>
      <c r="J120" s="74"/>
    </row>
    <row r="122" spans="6:10" ht="13.8" x14ac:dyDescent="0.3">
      <c r="J122" s="101"/>
    </row>
    <row r="123" spans="6:10" ht="13.8" x14ac:dyDescent="0.3">
      <c r="J123" s="103" t="s">
        <v>353</v>
      </c>
    </row>
    <row r="124" spans="6:10" x14ac:dyDescent="0.3">
      <c r="J124" s="55">
        <v>6</v>
      </c>
    </row>
    <row r="125" spans="6:10" x14ac:dyDescent="0.3">
      <c r="J125" s="55">
        <f>_xlfn.XLOOKUP(B125, BOQ!$B$2:$B$1000, BOQ!$F$2:$F$1000, "Not found")</f>
        <v>0</v>
      </c>
    </row>
    <row r="126" spans="6:10" x14ac:dyDescent="0.3">
      <c r="J126" s="55">
        <f>_xlfn.XLOOKUP(B126, BOQ!$B$2:$B$1000, BOQ!$F$2:$F$1000, "Not found")</f>
        <v>0</v>
      </c>
    </row>
  </sheetData>
  <sheetProtection insertRows="0" selectLockedCells="1"/>
  <mergeCells count="36">
    <mergeCell ref="E25:F25"/>
    <mergeCell ref="E26:F26"/>
    <mergeCell ref="E27:F28"/>
    <mergeCell ref="A31:H31"/>
    <mergeCell ref="E5:H5"/>
    <mergeCell ref="E7:H7"/>
    <mergeCell ref="E8:H8"/>
    <mergeCell ref="B8:C8"/>
    <mergeCell ref="C43:E43"/>
    <mergeCell ref="B29:F29"/>
    <mergeCell ref="B6:C6"/>
    <mergeCell ref="B7:C7"/>
    <mergeCell ref="B5:C5"/>
    <mergeCell ref="B10:C10"/>
    <mergeCell ref="F43:H43"/>
    <mergeCell ref="A40:H40"/>
    <mergeCell ref="A41:E41"/>
    <mergeCell ref="F41:H41"/>
    <mergeCell ref="F42:H42"/>
    <mergeCell ref="C42:E42"/>
    <mergeCell ref="A13:H13"/>
    <mergeCell ref="A15:H15"/>
    <mergeCell ref="B9:C9"/>
    <mergeCell ref="B11:C11"/>
    <mergeCell ref="B1:C1"/>
    <mergeCell ref="E9:H9"/>
    <mergeCell ref="E11:H11"/>
    <mergeCell ref="E2:H2"/>
    <mergeCell ref="E3:H3"/>
    <mergeCell ref="E4:H4"/>
    <mergeCell ref="E10:H10"/>
    <mergeCell ref="E6:H6"/>
    <mergeCell ref="B2:C2"/>
    <mergeCell ref="B3:C3"/>
    <mergeCell ref="B4:C4"/>
    <mergeCell ref="E1:H1"/>
  </mergeCells>
  <conditionalFormatting sqref="J124:J126 C17:E23 J17:J23">
    <cfRule type="cellIs" dxfId="38" priority="4" operator="equal">
      <formula>0</formula>
    </cfRule>
  </conditionalFormatting>
  <pageMargins left="0.70866141732283472" right="0.70866141732283472" top="0.74803149606299213" bottom="0.74803149606299213" header="0.31496062992125984" footer="0.31496062992125984"/>
  <pageSetup scale="54" orientation="portrait" r:id="rId1"/>
  <headerFooter>
    <oddHeader>&amp;R&amp;G</oddHeader>
  </headerFooter>
  <legacyDrawingHF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5376B3-ECFC-4A18-B420-BBE732625653}">
          <x14:formula1>
            <xm:f>BOQ!$B$2:$B$1000</xm:f>
          </x14:formula1>
          <xm:sqref>B17:B23</xm:sqref>
        </x14:dataValidation>
        <x14:dataValidation type="custom" allowBlank="1" showInputMessage="1" showErrorMessage="1" error="Qty Exceeds BOQ" xr:uid="{EC411525-57A4-4624-A4D6-FA5A2AED362D}">
          <x14:formula1>
            <xm:f>F17&lt;=_xlfn.XLOOKUP(B17, BOQ!$B$2:$B$1000, BOQ!$F$2:$F$1000)</xm:f>
          </x14:formula1>
          <xm:sqref>F17:F23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838B6-3E7D-4C5A-B384-7CA06A52ABA8}">
  <sheetPr codeName="Sheet6">
    <pageSetUpPr fitToPage="1"/>
  </sheetPr>
  <dimension ref="A1:Y126"/>
  <sheetViews>
    <sheetView zoomScale="70" zoomScaleNormal="70" workbookViewId="0">
      <selection sqref="A1:XFD1048576"/>
    </sheetView>
  </sheetViews>
  <sheetFormatPr defaultRowHeight="12" x14ac:dyDescent="0.3"/>
  <cols>
    <col min="1" max="1" width="11.88671875" style="15" customWidth="1"/>
    <col min="2" max="2" width="69.21875" style="15" customWidth="1"/>
    <col min="3" max="4" width="16.44140625" style="15" customWidth="1"/>
    <col min="5" max="5" width="8.44140625" style="15" customWidth="1"/>
    <col min="6" max="6" width="9.33203125" style="16" customWidth="1"/>
    <col min="7" max="7" width="16.109375" style="16" customWidth="1"/>
    <col min="8" max="8" width="18.33203125" style="16" customWidth="1"/>
    <col min="9" max="9" width="9.5546875" style="73" customWidth="1"/>
    <col min="10" max="10" width="27.77734375" style="74" customWidth="1"/>
    <col min="11" max="11" width="14.44140625" style="73" bestFit="1" customWidth="1"/>
    <col min="12" max="25" width="8.88671875" style="73"/>
    <col min="26" max="254" width="8.88671875" style="15"/>
    <col min="255" max="255" width="1.5546875" style="15" customWidth="1"/>
    <col min="256" max="257" width="9.33203125" style="15" customWidth="1"/>
    <col min="258" max="258" width="13.44140625" style="15" customWidth="1"/>
    <col min="259" max="259" width="32.5546875" style="15" customWidth="1"/>
    <col min="260" max="260" width="21.33203125" style="15" customWidth="1"/>
    <col min="261" max="261" width="12.33203125" style="15" customWidth="1"/>
    <col min="262" max="262" width="11.109375" style="15" customWidth="1"/>
    <col min="263" max="263" width="16.109375" style="15" customWidth="1"/>
    <col min="264" max="264" width="18.33203125" style="15" customWidth="1"/>
    <col min="265" max="265" width="10.88671875" style="15" bestFit="1" customWidth="1"/>
    <col min="266" max="266" width="14.33203125" style="15" customWidth="1"/>
    <col min="267" max="267" width="14.44140625" style="15" bestFit="1" customWidth="1"/>
    <col min="268" max="510" width="8.88671875" style="15"/>
    <col min="511" max="511" width="1.5546875" style="15" customWidth="1"/>
    <col min="512" max="513" width="9.33203125" style="15" customWidth="1"/>
    <col min="514" max="514" width="13.44140625" style="15" customWidth="1"/>
    <col min="515" max="515" width="32.5546875" style="15" customWidth="1"/>
    <col min="516" max="516" width="21.33203125" style="15" customWidth="1"/>
    <col min="517" max="517" width="12.33203125" style="15" customWidth="1"/>
    <col min="518" max="518" width="11.109375" style="15" customWidth="1"/>
    <col min="519" max="519" width="16.109375" style="15" customWidth="1"/>
    <col min="520" max="520" width="18.33203125" style="15" customWidth="1"/>
    <col min="521" max="521" width="10.88671875" style="15" bestFit="1" customWidth="1"/>
    <col min="522" max="522" width="14.33203125" style="15" customWidth="1"/>
    <col min="523" max="523" width="14.44140625" style="15" bestFit="1" customWidth="1"/>
    <col min="524" max="766" width="8.88671875" style="15"/>
    <col min="767" max="767" width="1.5546875" style="15" customWidth="1"/>
    <col min="768" max="769" width="9.33203125" style="15" customWidth="1"/>
    <col min="770" max="770" width="13.44140625" style="15" customWidth="1"/>
    <col min="771" max="771" width="32.5546875" style="15" customWidth="1"/>
    <col min="772" max="772" width="21.33203125" style="15" customWidth="1"/>
    <col min="773" max="773" width="12.33203125" style="15" customWidth="1"/>
    <col min="774" max="774" width="11.109375" style="15" customWidth="1"/>
    <col min="775" max="775" width="16.109375" style="15" customWidth="1"/>
    <col min="776" max="776" width="18.33203125" style="15" customWidth="1"/>
    <col min="777" max="777" width="10.88671875" style="15" bestFit="1" customWidth="1"/>
    <col min="778" max="778" width="14.33203125" style="15" customWidth="1"/>
    <col min="779" max="779" width="14.44140625" style="15" bestFit="1" customWidth="1"/>
    <col min="780" max="1022" width="8.88671875" style="15"/>
    <col min="1023" max="1023" width="1.5546875" style="15" customWidth="1"/>
    <col min="1024" max="1025" width="9.33203125" style="15" customWidth="1"/>
    <col min="1026" max="1026" width="13.44140625" style="15" customWidth="1"/>
    <col min="1027" max="1027" width="32.5546875" style="15" customWidth="1"/>
    <col min="1028" max="1028" width="21.33203125" style="15" customWidth="1"/>
    <col min="1029" max="1029" width="12.33203125" style="15" customWidth="1"/>
    <col min="1030" max="1030" width="11.109375" style="15" customWidth="1"/>
    <col min="1031" max="1031" width="16.109375" style="15" customWidth="1"/>
    <col min="1032" max="1032" width="18.33203125" style="15" customWidth="1"/>
    <col min="1033" max="1033" width="10.88671875" style="15" bestFit="1" customWidth="1"/>
    <col min="1034" max="1034" width="14.33203125" style="15" customWidth="1"/>
    <col min="1035" max="1035" width="14.44140625" style="15" bestFit="1" customWidth="1"/>
    <col min="1036" max="1278" width="8.88671875" style="15"/>
    <col min="1279" max="1279" width="1.5546875" style="15" customWidth="1"/>
    <col min="1280" max="1281" width="9.33203125" style="15" customWidth="1"/>
    <col min="1282" max="1282" width="13.44140625" style="15" customWidth="1"/>
    <col min="1283" max="1283" width="32.5546875" style="15" customWidth="1"/>
    <col min="1284" max="1284" width="21.33203125" style="15" customWidth="1"/>
    <col min="1285" max="1285" width="12.33203125" style="15" customWidth="1"/>
    <col min="1286" max="1286" width="11.109375" style="15" customWidth="1"/>
    <col min="1287" max="1287" width="16.109375" style="15" customWidth="1"/>
    <col min="1288" max="1288" width="18.33203125" style="15" customWidth="1"/>
    <col min="1289" max="1289" width="10.88671875" style="15" bestFit="1" customWidth="1"/>
    <col min="1290" max="1290" width="14.33203125" style="15" customWidth="1"/>
    <col min="1291" max="1291" width="14.44140625" style="15" bestFit="1" customWidth="1"/>
    <col min="1292" max="1534" width="8.88671875" style="15"/>
    <col min="1535" max="1535" width="1.5546875" style="15" customWidth="1"/>
    <col min="1536" max="1537" width="9.33203125" style="15" customWidth="1"/>
    <col min="1538" max="1538" width="13.44140625" style="15" customWidth="1"/>
    <col min="1539" max="1539" width="32.5546875" style="15" customWidth="1"/>
    <col min="1540" max="1540" width="21.33203125" style="15" customWidth="1"/>
    <col min="1541" max="1541" width="12.33203125" style="15" customWidth="1"/>
    <col min="1542" max="1542" width="11.109375" style="15" customWidth="1"/>
    <col min="1543" max="1543" width="16.109375" style="15" customWidth="1"/>
    <col min="1544" max="1544" width="18.33203125" style="15" customWidth="1"/>
    <col min="1545" max="1545" width="10.88671875" style="15" bestFit="1" customWidth="1"/>
    <col min="1546" max="1546" width="14.33203125" style="15" customWidth="1"/>
    <col min="1547" max="1547" width="14.44140625" style="15" bestFit="1" customWidth="1"/>
    <col min="1548" max="1790" width="8.88671875" style="15"/>
    <col min="1791" max="1791" width="1.5546875" style="15" customWidth="1"/>
    <col min="1792" max="1793" width="9.33203125" style="15" customWidth="1"/>
    <col min="1794" max="1794" width="13.44140625" style="15" customWidth="1"/>
    <col min="1795" max="1795" width="32.5546875" style="15" customWidth="1"/>
    <col min="1796" max="1796" width="21.33203125" style="15" customWidth="1"/>
    <col min="1797" max="1797" width="12.33203125" style="15" customWidth="1"/>
    <col min="1798" max="1798" width="11.109375" style="15" customWidth="1"/>
    <col min="1799" max="1799" width="16.109375" style="15" customWidth="1"/>
    <col min="1800" max="1800" width="18.33203125" style="15" customWidth="1"/>
    <col min="1801" max="1801" width="10.88671875" style="15" bestFit="1" customWidth="1"/>
    <col min="1802" max="1802" width="14.33203125" style="15" customWidth="1"/>
    <col min="1803" max="1803" width="14.44140625" style="15" bestFit="1" customWidth="1"/>
    <col min="1804" max="2046" width="8.88671875" style="15"/>
    <col min="2047" max="2047" width="1.5546875" style="15" customWidth="1"/>
    <col min="2048" max="2049" width="9.33203125" style="15" customWidth="1"/>
    <col min="2050" max="2050" width="13.44140625" style="15" customWidth="1"/>
    <col min="2051" max="2051" width="32.5546875" style="15" customWidth="1"/>
    <col min="2052" max="2052" width="21.33203125" style="15" customWidth="1"/>
    <col min="2053" max="2053" width="12.33203125" style="15" customWidth="1"/>
    <col min="2054" max="2054" width="11.109375" style="15" customWidth="1"/>
    <col min="2055" max="2055" width="16.109375" style="15" customWidth="1"/>
    <col min="2056" max="2056" width="18.33203125" style="15" customWidth="1"/>
    <col min="2057" max="2057" width="10.88671875" style="15" bestFit="1" customWidth="1"/>
    <col min="2058" max="2058" width="14.33203125" style="15" customWidth="1"/>
    <col min="2059" max="2059" width="14.44140625" style="15" bestFit="1" customWidth="1"/>
    <col min="2060" max="2302" width="8.88671875" style="15"/>
    <col min="2303" max="2303" width="1.5546875" style="15" customWidth="1"/>
    <col min="2304" max="2305" width="9.33203125" style="15" customWidth="1"/>
    <col min="2306" max="2306" width="13.44140625" style="15" customWidth="1"/>
    <col min="2307" max="2307" width="32.5546875" style="15" customWidth="1"/>
    <col min="2308" max="2308" width="21.33203125" style="15" customWidth="1"/>
    <col min="2309" max="2309" width="12.33203125" style="15" customWidth="1"/>
    <col min="2310" max="2310" width="11.109375" style="15" customWidth="1"/>
    <col min="2311" max="2311" width="16.109375" style="15" customWidth="1"/>
    <col min="2312" max="2312" width="18.33203125" style="15" customWidth="1"/>
    <col min="2313" max="2313" width="10.88671875" style="15" bestFit="1" customWidth="1"/>
    <col min="2314" max="2314" width="14.33203125" style="15" customWidth="1"/>
    <col min="2315" max="2315" width="14.44140625" style="15" bestFit="1" customWidth="1"/>
    <col min="2316" max="2558" width="8.88671875" style="15"/>
    <col min="2559" max="2559" width="1.5546875" style="15" customWidth="1"/>
    <col min="2560" max="2561" width="9.33203125" style="15" customWidth="1"/>
    <col min="2562" max="2562" width="13.44140625" style="15" customWidth="1"/>
    <col min="2563" max="2563" width="32.5546875" style="15" customWidth="1"/>
    <col min="2564" max="2564" width="21.33203125" style="15" customWidth="1"/>
    <col min="2565" max="2565" width="12.33203125" style="15" customWidth="1"/>
    <col min="2566" max="2566" width="11.109375" style="15" customWidth="1"/>
    <col min="2567" max="2567" width="16.109375" style="15" customWidth="1"/>
    <col min="2568" max="2568" width="18.33203125" style="15" customWidth="1"/>
    <col min="2569" max="2569" width="10.88671875" style="15" bestFit="1" customWidth="1"/>
    <col min="2570" max="2570" width="14.33203125" style="15" customWidth="1"/>
    <col min="2571" max="2571" width="14.44140625" style="15" bestFit="1" customWidth="1"/>
    <col min="2572" max="2814" width="8.88671875" style="15"/>
    <col min="2815" max="2815" width="1.5546875" style="15" customWidth="1"/>
    <col min="2816" max="2817" width="9.33203125" style="15" customWidth="1"/>
    <col min="2818" max="2818" width="13.44140625" style="15" customWidth="1"/>
    <col min="2819" max="2819" width="32.5546875" style="15" customWidth="1"/>
    <col min="2820" max="2820" width="21.33203125" style="15" customWidth="1"/>
    <col min="2821" max="2821" width="12.33203125" style="15" customWidth="1"/>
    <col min="2822" max="2822" width="11.109375" style="15" customWidth="1"/>
    <col min="2823" max="2823" width="16.109375" style="15" customWidth="1"/>
    <col min="2824" max="2824" width="18.33203125" style="15" customWidth="1"/>
    <col min="2825" max="2825" width="10.88671875" style="15" bestFit="1" customWidth="1"/>
    <col min="2826" max="2826" width="14.33203125" style="15" customWidth="1"/>
    <col min="2827" max="2827" width="14.44140625" style="15" bestFit="1" customWidth="1"/>
    <col min="2828" max="3070" width="8.88671875" style="15"/>
    <col min="3071" max="3071" width="1.5546875" style="15" customWidth="1"/>
    <col min="3072" max="3073" width="9.33203125" style="15" customWidth="1"/>
    <col min="3074" max="3074" width="13.44140625" style="15" customWidth="1"/>
    <col min="3075" max="3075" width="32.5546875" style="15" customWidth="1"/>
    <col min="3076" max="3076" width="21.33203125" style="15" customWidth="1"/>
    <col min="3077" max="3077" width="12.33203125" style="15" customWidth="1"/>
    <col min="3078" max="3078" width="11.109375" style="15" customWidth="1"/>
    <col min="3079" max="3079" width="16.109375" style="15" customWidth="1"/>
    <col min="3080" max="3080" width="18.33203125" style="15" customWidth="1"/>
    <col min="3081" max="3081" width="10.88671875" style="15" bestFit="1" customWidth="1"/>
    <col min="3082" max="3082" width="14.33203125" style="15" customWidth="1"/>
    <col min="3083" max="3083" width="14.44140625" style="15" bestFit="1" customWidth="1"/>
    <col min="3084" max="3326" width="8.88671875" style="15"/>
    <col min="3327" max="3327" width="1.5546875" style="15" customWidth="1"/>
    <col min="3328" max="3329" width="9.33203125" style="15" customWidth="1"/>
    <col min="3330" max="3330" width="13.44140625" style="15" customWidth="1"/>
    <col min="3331" max="3331" width="32.5546875" style="15" customWidth="1"/>
    <col min="3332" max="3332" width="21.33203125" style="15" customWidth="1"/>
    <col min="3333" max="3333" width="12.33203125" style="15" customWidth="1"/>
    <col min="3334" max="3334" width="11.109375" style="15" customWidth="1"/>
    <col min="3335" max="3335" width="16.109375" style="15" customWidth="1"/>
    <col min="3336" max="3336" width="18.33203125" style="15" customWidth="1"/>
    <col min="3337" max="3337" width="10.88671875" style="15" bestFit="1" customWidth="1"/>
    <col min="3338" max="3338" width="14.33203125" style="15" customWidth="1"/>
    <col min="3339" max="3339" width="14.44140625" style="15" bestFit="1" customWidth="1"/>
    <col min="3340" max="3582" width="8.88671875" style="15"/>
    <col min="3583" max="3583" width="1.5546875" style="15" customWidth="1"/>
    <col min="3584" max="3585" width="9.33203125" style="15" customWidth="1"/>
    <col min="3586" max="3586" width="13.44140625" style="15" customWidth="1"/>
    <col min="3587" max="3587" width="32.5546875" style="15" customWidth="1"/>
    <col min="3588" max="3588" width="21.33203125" style="15" customWidth="1"/>
    <col min="3589" max="3589" width="12.33203125" style="15" customWidth="1"/>
    <col min="3590" max="3590" width="11.109375" style="15" customWidth="1"/>
    <col min="3591" max="3591" width="16.109375" style="15" customWidth="1"/>
    <col min="3592" max="3592" width="18.33203125" style="15" customWidth="1"/>
    <col min="3593" max="3593" width="10.88671875" style="15" bestFit="1" customWidth="1"/>
    <col min="3594" max="3594" width="14.33203125" style="15" customWidth="1"/>
    <col min="3595" max="3595" width="14.44140625" style="15" bestFit="1" customWidth="1"/>
    <col min="3596" max="3838" width="8.88671875" style="15"/>
    <col min="3839" max="3839" width="1.5546875" style="15" customWidth="1"/>
    <col min="3840" max="3841" width="9.33203125" style="15" customWidth="1"/>
    <col min="3842" max="3842" width="13.44140625" style="15" customWidth="1"/>
    <col min="3843" max="3843" width="32.5546875" style="15" customWidth="1"/>
    <col min="3844" max="3844" width="21.33203125" style="15" customWidth="1"/>
    <col min="3845" max="3845" width="12.33203125" style="15" customWidth="1"/>
    <col min="3846" max="3846" width="11.109375" style="15" customWidth="1"/>
    <col min="3847" max="3847" width="16.109375" style="15" customWidth="1"/>
    <col min="3848" max="3848" width="18.33203125" style="15" customWidth="1"/>
    <col min="3849" max="3849" width="10.88671875" style="15" bestFit="1" customWidth="1"/>
    <col min="3850" max="3850" width="14.33203125" style="15" customWidth="1"/>
    <col min="3851" max="3851" width="14.44140625" style="15" bestFit="1" customWidth="1"/>
    <col min="3852" max="4094" width="8.88671875" style="15"/>
    <col min="4095" max="4095" width="1.5546875" style="15" customWidth="1"/>
    <col min="4096" max="4097" width="9.33203125" style="15" customWidth="1"/>
    <col min="4098" max="4098" width="13.44140625" style="15" customWidth="1"/>
    <col min="4099" max="4099" width="32.5546875" style="15" customWidth="1"/>
    <col min="4100" max="4100" width="21.33203125" style="15" customWidth="1"/>
    <col min="4101" max="4101" width="12.33203125" style="15" customWidth="1"/>
    <col min="4102" max="4102" width="11.109375" style="15" customWidth="1"/>
    <col min="4103" max="4103" width="16.109375" style="15" customWidth="1"/>
    <col min="4104" max="4104" width="18.33203125" style="15" customWidth="1"/>
    <col min="4105" max="4105" width="10.88671875" style="15" bestFit="1" customWidth="1"/>
    <col min="4106" max="4106" width="14.33203125" style="15" customWidth="1"/>
    <col min="4107" max="4107" width="14.44140625" style="15" bestFit="1" customWidth="1"/>
    <col min="4108" max="4350" width="8.88671875" style="15"/>
    <col min="4351" max="4351" width="1.5546875" style="15" customWidth="1"/>
    <col min="4352" max="4353" width="9.33203125" style="15" customWidth="1"/>
    <col min="4354" max="4354" width="13.44140625" style="15" customWidth="1"/>
    <col min="4355" max="4355" width="32.5546875" style="15" customWidth="1"/>
    <col min="4356" max="4356" width="21.33203125" style="15" customWidth="1"/>
    <col min="4357" max="4357" width="12.33203125" style="15" customWidth="1"/>
    <col min="4358" max="4358" width="11.109375" style="15" customWidth="1"/>
    <col min="4359" max="4359" width="16.109375" style="15" customWidth="1"/>
    <col min="4360" max="4360" width="18.33203125" style="15" customWidth="1"/>
    <col min="4361" max="4361" width="10.88671875" style="15" bestFit="1" customWidth="1"/>
    <col min="4362" max="4362" width="14.33203125" style="15" customWidth="1"/>
    <col min="4363" max="4363" width="14.44140625" style="15" bestFit="1" customWidth="1"/>
    <col min="4364" max="4606" width="8.88671875" style="15"/>
    <col min="4607" max="4607" width="1.5546875" style="15" customWidth="1"/>
    <col min="4608" max="4609" width="9.33203125" style="15" customWidth="1"/>
    <col min="4610" max="4610" width="13.44140625" style="15" customWidth="1"/>
    <col min="4611" max="4611" width="32.5546875" style="15" customWidth="1"/>
    <col min="4612" max="4612" width="21.33203125" style="15" customWidth="1"/>
    <col min="4613" max="4613" width="12.33203125" style="15" customWidth="1"/>
    <col min="4614" max="4614" width="11.109375" style="15" customWidth="1"/>
    <col min="4615" max="4615" width="16.109375" style="15" customWidth="1"/>
    <col min="4616" max="4616" width="18.33203125" style="15" customWidth="1"/>
    <col min="4617" max="4617" width="10.88671875" style="15" bestFit="1" customWidth="1"/>
    <col min="4618" max="4618" width="14.33203125" style="15" customWidth="1"/>
    <col min="4619" max="4619" width="14.44140625" style="15" bestFit="1" customWidth="1"/>
    <col min="4620" max="4862" width="8.88671875" style="15"/>
    <col min="4863" max="4863" width="1.5546875" style="15" customWidth="1"/>
    <col min="4864" max="4865" width="9.33203125" style="15" customWidth="1"/>
    <col min="4866" max="4866" width="13.44140625" style="15" customWidth="1"/>
    <col min="4867" max="4867" width="32.5546875" style="15" customWidth="1"/>
    <col min="4868" max="4868" width="21.33203125" style="15" customWidth="1"/>
    <col min="4869" max="4869" width="12.33203125" style="15" customWidth="1"/>
    <col min="4870" max="4870" width="11.109375" style="15" customWidth="1"/>
    <col min="4871" max="4871" width="16.109375" style="15" customWidth="1"/>
    <col min="4872" max="4872" width="18.33203125" style="15" customWidth="1"/>
    <col min="4873" max="4873" width="10.88671875" style="15" bestFit="1" customWidth="1"/>
    <col min="4874" max="4874" width="14.33203125" style="15" customWidth="1"/>
    <col min="4875" max="4875" width="14.44140625" style="15" bestFit="1" customWidth="1"/>
    <col min="4876" max="5118" width="8.88671875" style="15"/>
    <col min="5119" max="5119" width="1.5546875" style="15" customWidth="1"/>
    <col min="5120" max="5121" width="9.33203125" style="15" customWidth="1"/>
    <col min="5122" max="5122" width="13.44140625" style="15" customWidth="1"/>
    <col min="5123" max="5123" width="32.5546875" style="15" customWidth="1"/>
    <col min="5124" max="5124" width="21.33203125" style="15" customWidth="1"/>
    <col min="5125" max="5125" width="12.33203125" style="15" customWidth="1"/>
    <col min="5126" max="5126" width="11.109375" style="15" customWidth="1"/>
    <col min="5127" max="5127" width="16.109375" style="15" customWidth="1"/>
    <col min="5128" max="5128" width="18.33203125" style="15" customWidth="1"/>
    <col min="5129" max="5129" width="10.88671875" style="15" bestFit="1" customWidth="1"/>
    <col min="5130" max="5130" width="14.33203125" style="15" customWidth="1"/>
    <col min="5131" max="5131" width="14.44140625" style="15" bestFit="1" customWidth="1"/>
    <col min="5132" max="5374" width="8.88671875" style="15"/>
    <col min="5375" max="5375" width="1.5546875" style="15" customWidth="1"/>
    <col min="5376" max="5377" width="9.33203125" style="15" customWidth="1"/>
    <col min="5378" max="5378" width="13.44140625" style="15" customWidth="1"/>
    <col min="5379" max="5379" width="32.5546875" style="15" customWidth="1"/>
    <col min="5380" max="5380" width="21.33203125" style="15" customWidth="1"/>
    <col min="5381" max="5381" width="12.33203125" style="15" customWidth="1"/>
    <col min="5382" max="5382" width="11.109375" style="15" customWidth="1"/>
    <col min="5383" max="5383" width="16.109375" style="15" customWidth="1"/>
    <col min="5384" max="5384" width="18.33203125" style="15" customWidth="1"/>
    <col min="5385" max="5385" width="10.88671875" style="15" bestFit="1" customWidth="1"/>
    <col min="5386" max="5386" width="14.33203125" style="15" customWidth="1"/>
    <col min="5387" max="5387" width="14.44140625" style="15" bestFit="1" customWidth="1"/>
    <col min="5388" max="5630" width="8.88671875" style="15"/>
    <col min="5631" max="5631" width="1.5546875" style="15" customWidth="1"/>
    <col min="5632" max="5633" width="9.33203125" style="15" customWidth="1"/>
    <col min="5634" max="5634" width="13.44140625" style="15" customWidth="1"/>
    <col min="5635" max="5635" width="32.5546875" style="15" customWidth="1"/>
    <col min="5636" max="5636" width="21.33203125" style="15" customWidth="1"/>
    <col min="5637" max="5637" width="12.33203125" style="15" customWidth="1"/>
    <col min="5638" max="5638" width="11.109375" style="15" customWidth="1"/>
    <col min="5639" max="5639" width="16.109375" style="15" customWidth="1"/>
    <col min="5640" max="5640" width="18.33203125" style="15" customWidth="1"/>
    <col min="5641" max="5641" width="10.88671875" style="15" bestFit="1" customWidth="1"/>
    <col min="5642" max="5642" width="14.33203125" style="15" customWidth="1"/>
    <col min="5643" max="5643" width="14.44140625" style="15" bestFit="1" customWidth="1"/>
    <col min="5644" max="5886" width="8.88671875" style="15"/>
    <col min="5887" max="5887" width="1.5546875" style="15" customWidth="1"/>
    <col min="5888" max="5889" width="9.33203125" style="15" customWidth="1"/>
    <col min="5890" max="5890" width="13.44140625" style="15" customWidth="1"/>
    <col min="5891" max="5891" width="32.5546875" style="15" customWidth="1"/>
    <col min="5892" max="5892" width="21.33203125" style="15" customWidth="1"/>
    <col min="5893" max="5893" width="12.33203125" style="15" customWidth="1"/>
    <col min="5894" max="5894" width="11.109375" style="15" customWidth="1"/>
    <col min="5895" max="5895" width="16.109375" style="15" customWidth="1"/>
    <col min="5896" max="5896" width="18.33203125" style="15" customWidth="1"/>
    <col min="5897" max="5897" width="10.88671875" style="15" bestFit="1" customWidth="1"/>
    <col min="5898" max="5898" width="14.33203125" style="15" customWidth="1"/>
    <col min="5899" max="5899" width="14.44140625" style="15" bestFit="1" customWidth="1"/>
    <col min="5900" max="6142" width="8.88671875" style="15"/>
    <col min="6143" max="6143" width="1.5546875" style="15" customWidth="1"/>
    <col min="6144" max="6145" width="9.33203125" style="15" customWidth="1"/>
    <col min="6146" max="6146" width="13.44140625" style="15" customWidth="1"/>
    <col min="6147" max="6147" width="32.5546875" style="15" customWidth="1"/>
    <col min="6148" max="6148" width="21.33203125" style="15" customWidth="1"/>
    <col min="6149" max="6149" width="12.33203125" style="15" customWidth="1"/>
    <col min="6150" max="6150" width="11.109375" style="15" customWidth="1"/>
    <col min="6151" max="6151" width="16.109375" style="15" customWidth="1"/>
    <col min="6152" max="6152" width="18.33203125" style="15" customWidth="1"/>
    <col min="6153" max="6153" width="10.88671875" style="15" bestFit="1" customWidth="1"/>
    <col min="6154" max="6154" width="14.33203125" style="15" customWidth="1"/>
    <col min="6155" max="6155" width="14.44140625" style="15" bestFit="1" customWidth="1"/>
    <col min="6156" max="6398" width="8.88671875" style="15"/>
    <col min="6399" max="6399" width="1.5546875" style="15" customWidth="1"/>
    <col min="6400" max="6401" width="9.33203125" style="15" customWidth="1"/>
    <col min="6402" max="6402" width="13.44140625" style="15" customWidth="1"/>
    <col min="6403" max="6403" width="32.5546875" style="15" customWidth="1"/>
    <col min="6404" max="6404" width="21.33203125" style="15" customWidth="1"/>
    <col min="6405" max="6405" width="12.33203125" style="15" customWidth="1"/>
    <col min="6406" max="6406" width="11.109375" style="15" customWidth="1"/>
    <col min="6407" max="6407" width="16.109375" style="15" customWidth="1"/>
    <col min="6408" max="6408" width="18.33203125" style="15" customWidth="1"/>
    <col min="6409" max="6409" width="10.88671875" style="15" bestFit="1" customWidth="1"/>
    <col min="6410" max="6410" width="14.33203125" style="15" customWidth="1"/>
    <col min="6411" max="6411" width="14.44140625" style="15" bestFit="1" customWidth="1"/>
    <col min="6412" max="6654" width="8.88671875" style="15"/>
    <col min="6655" max="6655" width="1.5546875" style="15" customWidth="1"/>
    <col min="6656" max="6657" width="9.33203125" style="15" customWidth="1"/>
    <col min="6658" max="6658" width="13.44140625" style="15" customWidth="1"/>
    <col min="6659" max="6659" width="32.5546875" style="15" customWidth="1"/>
    <col min="6660" max="6660" width="21.33203125" style="15" customWidth="1"/>
    <col min="6661" max="6661" width="12.33203125" style="15" customWidth="1"/>
    <col min="6662" max="6662" width="11.109375" style="15" customWidth="1"/>
    <col min="6663" max="6663" width="16.109375" style="15" customWidth="1"/>
    <col min="6664" max="6664" width="18.33203125" style="15" customWidth="1"/>
    <col min="6665" max="6665" width="10.88671875" style="15" bestFit="1" customWidth="1"/>
    <col min="6666" max="6666" width="14.33203125" style="15" customWidth="1"/>
    <col min="6667" max="6667" width="14.44140625" style="15" bestFit="1" customWidth="1"/>
    <col min="6668" max="6910" width="8.88671875" style="15"/>
    <col min="6911" max="6911" width="1.5546875" style="15" customWidth="1"/>
    <col min="6912" max="6913" width="9.33203125" style="15" customWidth="1"/>
    <col min="6914" max="6914" width="13.44140625" style="15" customWidth="1"/>
    <col min="6915" max="6915" width="32.5546875" style="15" customWidth="1"/>
    <col min="6916" max="6916" width="21.33203125" style="15" customWidth="1"/>
    <col min="6917" max="6917" width="12.33203125" style="15" customWidth="1"/>
    <col min="6918" max="6918" width="11.109375" style="15" customWidth="1"/>
    <col min="6919" max="6919" width="16.109375" style="15" customWidth="1"/>
    <col min="6920" max="6920" width="18.33203125" style="15" customWidth="1"/>
    <col min="6921" max="6921" width="10.88671875" style="15" bestFit="1" customWidth="1"/>
    <col min="6922" max="6922" width="14.33203125" style="15" customWidth="1"/>
    <col min="6923" max="6923" width="14.44140625" style="15" bestFit="1" customWidth="1"/>
    <col min="6924" max="7166" width="8.88671875" style="15"/>
    <col min="7167" max="7167" width="1.5546875" style="15" customWidth="1"/>
    <col min="7168" max="7169" width="9.33203125" style="15" customWidth="1"/>
    <col min="7170" max="7170" width="13.44140625" style="15" customWidth="1"/>
    <col min="7171" max="7171" width="32.5546875" style="15" customWidth="1"/>
    <col min="7172" max="7172" width="21.33203125" style="15" customWidth="1"/>
    <col min="7173" max="7173" width="12.33203125" style="15" customWidth="1"/>
    <col min="7174" max="7174" width="11.109375" style="15" customWidth="1"/>
    <col min="7175" max="7175" width="16.109375" style="15" customWidth="1"/>
    <col min="7176" max="7176" width="18.33203125" style="15" customWidth="1"/>
    <col min="7177" max="7177" width="10.88671875" style="15" bestFit="1" customWidth="1"/>
    <col min="7178" max="7178" width="14.33203125" style="15" customWidth="1"/>
    <col min="7179" max="7179" width="14.44140625" style="15" bestFit="1" customWidth="1"/>
    <col min="7180" max="7422" width="8.88671875" style="15"/>
    <col min="7423" max="7423" width="1.5546875" style="15" customWidth="1"/>
    <col min="7424" max="7425" width="9.33203125" style="15" customWidth="1"/>
    <col min="7426" max="7426" width="13.44140625" style="15" customWidth="1"/>
    <col min="7427" max="7427" width="32.5546875" style="15" customWidth="1"/>
    <col min="7428" max="7428" width="21.33203125" style="15" customWidth="1"/>
    <col min="7429" max="7429" width="12.33203125" style="15" customWidth="1"/>
    <col min="7430" max="7430" width="11.109375" style="15" customWidth="1"/>
    <col min="7431" max="7431" width="16.109375" style="15" customWidth="1"/>
    <col min="7432" max="7432" width="18.33203125" style="15" customWidth="1"/>
    <col min="7433" max="7433" width="10.88671875" style="15" bestFit="1" customWidth="1"/>
    <col min="7434" max="7434" width="14.33203125" style="15" customWidth="1"/>
    <col min="7435" max="7435" width="14.44140625" style="15" bestFit="1" customWidth="1"/>
    <col min="7436" max="7678" width="8.88671875" style="15"/>
    <col min="7679" max="7679" width="1.5546875" style="15" customWidth="1"/>
    <col min="7680" max="7681" width="9.33203125" style="15" customWidth="1"/>
    <col min="7682" max="7682" width="13.44140625" style="15" customWidth="1"/>
    <col min="7683" max="7683" width="32.5546875" style="15" customWidth="1"/>
    <col min="7684" max="7684" width="21.33203125" style="15" customWidth="1"/>
    <col min="7685" max="7685" width="12.33203125" style="15" customWidth="1"/>
    <col min="7686" max="7686" width="11.109375" style="15" customWidth="1"/>
    <col min="7687" max="7687" width="16.109375" style="15" customWidth="1"/>
    <col min="7688" max="7688" width="18.33203125" style="15" customWidth="1"/>
    <col min="7689" max="7689" width="10.88671875" style="15" bestFit="1" customWidth="1"/>
    <col min="7690" max="7690" width="14.33203125" style="15" customWidth="1"/>
    <col min="7691" max="7691" width="14.44140625" style="15" bestFit="1" customWidth="1"/>
    <col min="7692" max="7934" width="8.88671875" style="15"/>
    <col min="7935" max="7935" width="1.5546875" style="15" customWidth="1"/>
    <col min="7936" max="7937" width="9.33203125" style="15" customWidth="1"/>
    <col min="7938" max="7938" width="13.44140625" style="15" customWidth="1"/>
    <col min="7939" max="7939" width="32.5546875" style="15" customWidth="1"/>
    <col min="7940" max="7940" width="21.33203125" style="15" customWidth="1"/>
    <col min="7941" max="7941" width="12.33203125" style="15" customWidth="1"/>
    <col min="7942" max="7942" width="11.109375" style="15" customWidth="1"/>
    <col min="7943" max="7943" width="16.109375" style="15" customWidth="1"/>
    <col min="7944" max="7944" width="18.33203125" style="15" customWidth="1"/>
    <col min="7945" max="7945" width="10.88671875" style="15" bestFit="1" customWidth="1"/>
    <col min="7946" max="7946" width="14.33203125" style="15" customWidth="1"/>
    <col min="7947" max="7947" width="14.44140625" style="15" bestFit="1" customWidth="1"/>
    <col min="7948" max="8190" width="8.88671875" style="15"/>
    <col min="8191" max="8191" width="1.5546875" style="15" customWidth="1"/>
    <col min="8192" max="8193" width="9.33203125" style="15" customWidth="1"/>
    <col min="8194" max="8194" width="13.44140625" style="15" customWidth="1"/>
    <col min="8195" max="8195" width="32.5546875" style="15" customWidth="1"/>
    <col min="8196" max="8196" width="21.33203125" style="15" customWidth="1"/>
    <col min="8197" max="8197" width="12.33203125" style="15" customWidth="1"/>
    <col min="8198" max="8198" width="11.109375" style="15" customWidth="1"/>
    <col min="8199" max="8199" width="16.109375" style="15" customWidth="1"/>
    <col min="8200" max="8200" width="18.33203125" style="15" customWidth="1"/>
    <col min="8201" max="8201" width="10.88671875" style="15" bestFit="1" customWidth="1"/>
    <col min="8202" max="8202" width="14.33203125" style="15" customWidth="1"/>
    <col min="8203" max="8203" width="14.44140625" style="15" bestFit="1" customWidth="1"/>
    <col min="8204" max="8446" width="8.88671875" style="15"/>
    <col min="8447" max="8447" width="1.5546875" style="15" customWidth="1"/>
    <col min="8448" max="8449" width="9.33203125" style="15" customWidth="1"/>
    <col min="8450" max="8450" width="13.44140625" style="15" customWidth="1"/>
    <col min="8451" max="8451" width="32.5546875" style="15" customWidth="1"/>
    <col min="8452" max="8452" width="21.33203125" style="15" customWidth="1"/>
    <col min="8453" max="8453" width="12.33203125" style="15" customWidth="1"/>
    <col min="8454" max="8454" width="11.109375" style="15" customWidth="1"/>
    <col min="8455" max="8455" width="16.109375" style="15" customWidth="1"/>
    <col min="8456" max="8456" width="18.33203125" style="15" customWidth="1"/>
    <col min="8457" max="8457" width="10.88671875" style="15" bestFit="1" customWidth="1"/>
    <col min="8458" max="8458" width="14.33203125" style="15" customWidth="1"/>
    <col min="8459" max="8459" width="14.44140625" style="15" bestFit="1" customWidth="1"/>
    <col min="8460" max="8702" width="8.88671875" style="15"/>
    <col min="8703" max="8703" width="1.5546875" style="15" customWidth="1"/>
    <col min="8704" max="8705" width="9.33203125" style="15" customWidth="1"/>
    <col min="8706" max="8706" width="13.44140625" style="15" customWidth="1"/>
    <col min="8707" max="8707" width="32.5546875" style="15" customWidth="1"/>
    <col min="8708" max="8708" width="21.33203125" style="15" customWidth="1"/>
    <col min="8709" max="8709" width="12.33203125" style="15" customWidth="1"/>
    <col min="8710" max="8710" width="11.109375" style="15" customWidth="1"/>
    <col min="8711" max="8711" width="16.109375" style="15" customWidth="1"/>
    <col min="8712" max="8712" width="18.33203125" style="15" customWidth="1"/>
    <col min="8713" max="8713" width="10.88671875" style="15" bestFit="1" customWidth="1"/>
    <col min="8714" max="8714" width="14.33203125" style="15" customWidth="1"/>
    <col min="8715" max="8715" width="14.44140625" style="15" bestFit="1" customWidth="1"/>
    <col min="8716" max="8958" width="8.88671875" style="15"/>
    <col min="8959" max="8959" width="1.5546875" style="15" customWidth="1"/>
    <col min="8960" max="8961" width="9.33203125" style="15" customWidth="1"/>
    <col min="8962" max="8962" width="13.44140625" style="15" customWidth="1"/>
    <col min="8963" max="8963" width="32.5546875" style="15" customWidth="1"/>
    <col min="8964" max="8964" width="21.33203125" style="15" customWidth="1"/>
    <col min="8965" max="8965" width="12.33203125" style="15" customWidth="1"/>
    <col min="8966" max="8966" width="11.109375" style="15" customWidth="1"/>
    <col min="8967" max="8967" width="16.109375" style="15" customWidth="1"/>
    <col min="8968" max="8968" width="18.33203125" style="15" customWidth="1"/>
    <col min="8969" max="8969" width="10.88671875" style="15" bestFit="1" customWidth="1"/>
    <col min="8970" max="8970" width="14.33203125" style="15" customWidth="1"/>
    <col min="8971" max="8971" width="14.44140625" style="15" bestFit="1" customWidth="1"/>
    <col min="8972" max="9214" width="8.88671875" style="15"/>
    <col min="9215" max="9215" width="1.5546875" style="15" customWidth="1"/>
    <col min="9216" max="9217" width="9.33203125" style="15" customWidth="1"/>
    <col min="9218" max="9218" width="13.44140625" style="15" customWidth="1"/>
    <col min="9219" max="9219" width="32.5546875" style="15" customWidth="1"/>
    <col min="9220" max="9220" width="21.33203125" style="15" customWidth="1"/>
    <col min="9221" max="9221" width="12.33203125" style="15" customWidth="1"/>
    <col min="9222" max="9222" width="11.109375" style="15" customWidth="1"/>
    <col min="9223" max="9223" width="16.109375" style="15" customWidth="1"/>
    <col min="9224" max="9224" width="18.33203125" style="15" customWidth="1"/>
    <col min="9225" max="9225" width="10.88671875" style="15" bestFit="1" customWidth="1"/>
    <col min="9226" max="9226" width="14.33203125" style="15" customWidth="1"/>
    <col min="9227" max="9227" width="14.44140625" style="15" bestFit="1" customWidth="1"/>
    <col min="9228" max="9470" width="8.88671875" style="15"/>
    <col min="9471" max="9471" width="1.5546875" style="15" customWidth="1"/>
    <col min="9472" max="9473" width="9.33203125" style="15" customWidth="1"/>
    <col min="9474" max="9474" width="13.44140625" style="15" customWidth="1"/>
    <col min="9475" max="9475" width="32.5546875" style="15" customWidth="1"/>
    <col min="9476" max="9476" width="21.33203125" style="15" customWidth="1"/>
    <col min="9477" max="9477" width="12.33203125" style="15" customWidth="1"/>
    <col min="9478" max="9478" width="11.109375" style="15" customWidth="1"/>
    <col min="9479" max="9479" width="16.109375" style="15" customWidth="1"/>
    <col min="9480" max="9480" width="18.33203125" style="15" customWidth="1"/>
    <col min="9481" max="9481" width="10.88671875" style="15" bestFit="1" customWidth="1"/>
    <col min="9482" max="9482" width="14.33203125" style="15" customWidth="1"/>
    <col min="9483" max="9483" width="14.44140625" style="15" bestFit="1" customWidth="1"/>
    <col min="9484" max="9726" width="8.88671875" style="15"/>
    <col min="9727" max="9727" width="1.5546875" style="15" customWidth="1"/>
    <col min="9728" max="9729" width="9.33203125" style="15" customWidth="1"/>
    <col min="9730" max="9730" width="13.44140625" style="15" customWidth="1"/>
    <col min="9731" max="9731" width="32.5546875" style="15" customWidth="1"/>
    <col min="9732" max="9732" width="21.33203125" style="15" customWidth="1"/>
    <col min="9733" max="9733" width="12.33203125" style="15" customWidth="1"/>
    <col min="9734" max="9734" width="11.109375" style="15" customWidth="1"/>
    <col min="9735" max="9735" width="16.109375" style="15" customWidth="1"/>
    <col min="9736" max="9736" width="18.33203125" style="15" customWidth="1"/>
    <col min="9737" max="9737" width="10.88671875" style="15" bestFit="1" customWidth="1"/>
    <col min="9738" max="9738" width="14.33203125" style="15" customWidth="1"/>
    <col min="9739" max="9739" width="14.44140625" style="15" bestFit="1" customWidth="1"/>
    <col min="9740" max="9982" width="8.88671875" style="15"/>
    <col min="9983" max="9983" width="1.5546875" style="15" customWidth="1"/>
    <col min="9984" max="9985" width="9.33203125" style="15" customWidth="1"/>
    <col min="9986" max="9986" width="13.44140625" style="15" customWidth="1"/>
    <col min="9987" max="9987" width="32.5546875" style="15" customWidth="1"/>
    <col min="9988" max="9988" width="21.33203125" style="15" customWidth="1"/>
    <col min="9989" max="9989" width="12.33203125" style="15" customWidth="1"/>
    <col min="9990" max="9990" width="11.109375" style="15" customWidth="1"/>
    <col min="9991" max="9991" width="16.109375" style="15" customWidth="1"/>
    <col min="9992" max="9992" width="18.33203125" style="15" customWidth="1"/>
    <col min="9993" max="9993" width="10.88671875" style="15" bestFit="1" customWidth="1"/>
    <col min="9994" max="9994" width="14.33203125" style="15" customWidth="1"/>
    <col min="9995" max="9995" width="14.44140625" style="15" bestFit="1" customWidth="1"/>
    <col min="9996" max="10238" width="8.88671875" style="15"/>
    <col min="10239" max="10239" width="1.5546875" style="15" customWidth="1"/>
    <col min="10240" max="10241" width="9.33203125" style="15" customWidth="1"/>
    <col min="10242" max="10242" width="13.44140625" style="15" customWidth="1"/>
    <col min="10243" max="10243" width="32.5546875" style="15" customWidth="1"/>
    <col min="10244" max="10244" width="21.33203125" style="15" customWidth="1"/>
    <col min="10245" max="10245" width="12.33203125" style="15" customWidth="1"/>
    <col min="10246" max="10246" width="11.109375" style="15" customWidth="1"/>
    <col min="10247" max="10247" width="16.109375" style="15" customWidth="1"/>
    <col min="10248" max="10248" width="18.33203125" style="15" customWidth="1"/>
    <col min="10249" max="10249" width="10.88671875" style="15" bestFit="1" customWidth="1"/>
    <col min="10250" max="10250" width="14.33203125" style="15" customWidth="1"/>
    <col min="10251" max="10251" width="14.44140625" style="15" bestFit="1" customWidth="1"/>
    <col min="10252" max="10494" width="8.88671875" style="15"/>
    <col min="10495" max="10495" width="1.5546875" style="15" customWidth="1"/>
    <col min="10496" max="10497" width="9.33203125" style="15" customWidth="1"/>
    <col min="10498" max="10498" width="13.44140625" style="15" customWidth="1"/>
    <col min="10499" max="10499" width="32.5546875" style="15" customWidth="1"/>
    <col min="10500" max="10500" width="21.33203125" style="15" customWidth="1"/>
    <col min="10501" max="10501" width="12.33203125" style="15" customWidth="1"/>
    <col min="10502" max="10502" width="11.109375" style="15" customWidth="1"/>
    <col min="10503" max="10503" width="16.109375" style="15" customWidth="1"/>
    <col min="10504" max="10504" width="18.33203125" style="15" customWidth="1"/>
    <col min="10505" max="10505" width="10.88671875" style="15" bestFit="1" customWidth="1"/>
    <col min="10506" max="10506" width="14.33203125" style="15" customWidth="1"/>
    <col min="10507" max="10507" width="14.44140625" style="15" bestFit="1" customWidth="1"/>
    <col min="10508" max="10750" width="8.88671875" style="15"/>
    <col min="10751" max="10751" width="1.5546875" style="15" customWidth="1"/>
    <col min="10752" max="10753" width="9.33203125" style="15" customWidth="1"/>
    <col min="10754" max="10754" width="13.44140625" style="15" customWidth="1"/>
    <col min="10755" max="10755" width="32.5546875" style="15" customWidth="1"/>
    <col min="10756" max="10756" width="21.33203125" style="15" customWidth="1"/>
    <col min="10757" max="10757" width="12.33203125" style="15" customWidth="1"/>
    <col min="10758" max="10758" width="11.109375" style="15" customWidth="1"/>
    <col min="10759" max="10759" width="16.109375" style="15" customWidth="1"/>
    <col min="10760" max="10760" width="18.33203125" style="15" customWidth="1"/>
    <col min="10761" max="10761" width="10.88671875" style="15" bestFit="1" customWidth="1"/>
    <col min="10762" max="10762" width="14.33203125" style="15" customWidth="1"/>
    <col min="10763" max="10763" width="14.44140625" style="15" bestFit="1" customWidth="1"/>
    <col min="10764" max="11006" width="8.88671875" style="15"/>
    <col min="11007" max="11007" width="1.5546875" style="15" customWidth="1"/>
    <col min="11008" max="11009" width="9.33203125" style="15" customWidth="1"/>
    <col min="11010" max="11010" width="13.44140625" style="15" customWidth="1"/>
    <col min="11011" max="11011" width="32.5546875" style="15" customWidth="1"/>
    <col min="11012" max="11012" width="21.33203125" style="15" customWidth="1"/>
    <col min="11013" max="11013" width="12.33203125" style="15" customWidth="1"/>
    <col min="11014" max="11014" width="11.109375" style="15" customWidth="1"/>
    <col min="11015" max="11015" width="16.109375" style="15" customWidth="1"/>
    <col min="11016" max="11016" width="18.33203125" style="15" customWidth="1"/>
    <col min="11017" max="11017" width="10.88671875" style="15" bestFit="1" customWidth="1"/>
    <col min="11018" max="11018" width="14.33203125" style="15" customWidth="1"/>
    <col min="11019" max="11019" width="14.44140625" style="15" bestFit="1" customWidth="1"/>
    <col min="11020" max="11262" width="8.88671875" style="15"/>
    <col min="11263" max="11263" width="1.5546875" style="15" customWidth="1"/>
    <col min="11264" max="11265" width="9.33203125" style="15" customWidth="1"/>
    <col min="11266" max="11266" width="13.44140625" style="15" customWidth="1"/>
    <col min="11267" max="11267" width="32.5546875" style="15" customWidth="1"/>
    <col min="11268" max="11268" width="21.33203125" style="15" customWidth="1"/>
    <col min="11269" max="11269" width="12.33203125" style="15" customWidth="1"/>
    <col min="11270" max="11270" width="11.109375" style="15" customWidth="1"/>
    <col min="11271" max="11271" width="16.109375" style="15" customWidth="1"/>
    <col min="11272" max="11272" width="18.33203125" style="15" customWidth="1"/>
    <col min="11273" max="11273" width="10.88671875" style="15" bestFit="1" customWidth="1"/>
    <col min="11274" max="11274" width="14.33203125" style="15" customWidth="1"/>
    <col min="11275" max="11275" width="14.44140625" style="15" bestFit="1" customWidth="1"/>
    <col min="11276" max="11518" width="8.88671875" style="15"/>
    <col min="11519" max="11519" width="1.5546875" style="15" customWidth="1"/>
    <col min="11520" max="11521" width="9.33203125" style="15" customWidth="1"/>
    <col min="11522" max="11522" width="13.44140625" style="15" customWidth="1"/>
    <col min="11523" max="11523" width="32.5546875" style="15" customWidth="1"/>
    <col min="11524" max="11524" width="21.33203125" style="15" customWidth="1"/>
    <col min="11525" max="11525" width="12.33203125" style="15" customWidth="1"/>
    <col min="11526" max="11526" width="11.109375" style="15" customWidth="1"/>
    <col min="11527" max="11527" width="16.109375" style="15" customWidth="1"/>
    <col min="11528" max="11528" width="18.33203125" style="15" customWidth="1"/>
    <col min="11529" max="11529" width="10.88671875" style="15" bestFit="1" customWidth="1"/>
    <col min="11530" max="11530" width="14.33203125" style="15" customWidth="1"/>
    <col min="11531" max="11531" width="14.44140625" style="15" bestFit="1" customWidth="1"/>
    <col min="11532" max="11774" width="8.88671875" style="15"/>
    <col min="11775" max="11775" width="1.5546875" style="15" customWidth="1"/>
    <col min="11776" max="11777" width="9.33203125" style="15" customWidth="1"/>
    <col min="11778" max="11778" width="13.44140625" style="15" customWidth="1"/>
    <col min="11779" max="11779" width="32.5546875" style="15" customWidth="1"/>
    <col min="11780" max="11780" width="21.33203125" style="15" customWidth="1"/>
    <col min="11781" max="11781" width="12.33203125" style="15" customWidth="1"/>
    <col min="11782" max="11782" width="11.109375" style="15" customWidth="1"/>
    <col min="11783" max="11783" width="16.109375" style="15" customWidth="1"/>
    <col min="11784" max="11784" width="18.33203125" style="15" customWidth="1"/>
    <col min="11785" max="11785" width="10.88671875" style="15" bestFit="1" customWidth="1"/>
    <col min="11786" max="11786" width="14.33203125" style="15" customWidth="1"/>
    <col min="11787" max="11787" width="14.44140625" style="15" bestFit="1" customWidth="1"/>
    <col min="11788" max="12030" width="8.88671875" style="15"/>
    <col min="12031" max="12031" width="1.5546875" style="15" customWidth="1"/>
    <col min="12032" max="12033" width="9.33203125" style="15" customWidth="1"/>
    <col min="12034" max="12034" width="13.44140625" style="15" customWidth="1"/>
    <col min="12035" max="12035" width="32.5546875" style="15" customWidth="1"/>
    <col min="12036" max="12036" width="21.33203125" style="15" customWidth="1"/>
    <col min="12037" max="12037" width="12.33203125" style="15" customWidth="1"/>
    <col min="12038" max="12038" width="11.109375" style="15" customWidth="1"/>
    <col min="12039" max="12039" width="16.109375" style="15" customWidth="1"/>
    <col min="12040" max="12040" width="18.33203125" style="15" customWidth="1"/>
    <col min="12041" max="12041" width="10.88671875" style="15" bestFit="1" customWidth="1"/>
    <col min="12042" max="12042" width="14.33203125" style="15" customWidth="1"/>
    <col min="12043" max="12043" width="14.44140625" style="15" bestFit="1" customWidth="1"/>
    <col min="12044" max="12286" width="8.88671875" style="15"/>
    <col min="12287" max="12287" width="1.5546875" style="15" customWidth="1"/>
    <col min="12288" max="12289" width="9.33203125" style="15" customWidth="1"/>
    <col min="12290" max="12290" width="13.44140625" style="15" customWidth="1"/>
    <col min="12291" max="12291" width="32.5546875" style="15" customWidth="1"/>
    <col min="12292" max="12292" width="21.33203125" style="15" customWidth="1"/>
    <col min="12293" max="12293" width="12.33203125" style="15" customWidth="1"/>
    <col min="12294" max="12294" width="11.109375" style="15" customWidth="1"/>
    <col min="12295" max="12295" width="16.109375" style="15" customWidth="1"/>
    <col min="12296" max="12296" width="18.33203125" style="15" customWidth="1"/>
    <col min="12297" max="12297" width="10.88671875" style="15" bestFit="1" customWidth="1"/>
    <col min="12298" max="12298" width="14.33203125" style="15" customWidth="1"/>
    <col min="12299" max="12299" width="14.44140625" style="15" bestFit="1" customWidth="1"/>
    <col min="12300" max="12542" width="8.88671875" style="15"/>
    <col min="12543" max="12543" width="1.5546875" style="15" customWidth="1"/>
    <col min="12544" max="12545" width="9.33203125" style="15" customWidth="1"/>
    <col min="12546" max="12546" width="13.44140625" style="15" customWidth="1"/>
    <col min="12547" max="12547" width="32.5546875" style="15" customWidth="1"/>
    <col min="12548" max="12548" width="21.33203125" style="15" customWidth="1"/>
    <col min="12549" max="12549" width="12.33203125" style="15" customWidth="1"/>
    <col min="12550" max="12550" width="11.109375" style="15" customWidth="1"/>
    <col min="12551" max="12551" width="16.109375" style="15" customWidth="1"/>
    <col min="12552" max="12552" width="18.33203125" style="15" customWidth="1"/>
    <col min="12553" max="12553" width="10.88671875" style="15" bestFit="1" customWidth="1"/>
    <col min="12554" max="12554" width="14.33203125" style="15" customWidth="1"/>
    <col min="12555" max="12555" width="14.44140625" style="15" bestFit="1" customWidth="1"/>
    <col min="12556" max="12798" width="8.88671875" style="15"/>
    <col min="12799" max="12799" width="1.5546875" style="15" customWidth="1"/>
    <col min="12800" max="12801" width="9.33203125" style="15" customWidth="1"/>
    <col min="12802" max="12802" width="13.44140625" style="15" customWidth="1"/>
    <col min="12803" max="12803" width="32.5546875" style="15" customWidth="1"/>
    <col min="12804" max="12804" width="21.33203125" style="15" customWidth="1"/>
    <col min="12805" max="12805" width="12.33203125" style="15" customWidth="1"/>
    <col min="12806" max="12806" width="11.109375" style="15" customWidth="1"/>
    <col min="12807" max="12807" width="16.109375" style="15" customWidth="1"/>
    <col min="12808" max="12808" width="18.33203125" style="15" customWidth="1"/>
    <col min="12809" max="12809" width="10.88671875" style="15" bestFit="1" customWidth="1"/>
    <col min="12810" max="12810" width="14.33203125" style="15" customWidth="1"/>
    <col min="12811" max="12811" width="14.44140625" style="15" bestFit="1" customWidth="1"/>
    <col min="12812" max="13054" width="8.88671875" style="15"/>
    <col min="13055" max="13055" width="1.5546875" style="15" customWidth="1"/>
    <col min="13056" max="13057" width="9.33203125" style="15" customWidth="1"/>
    <col min="13058" max="13058" width="13.44140625" style="15" customWidth="1"/>
    <col min="13059" max="13059" width="32.5546875" style="15" customWidth="1"/>
    <col min="13060" max="13060" width="21.33203125" style="15" customWidth="1"/>
    <col min="13061" max="13061" width="12.33203125" style="15" customWidth="1"/>
    <col min="13062" max="13062" width="11.109375" style="15" customWidth="1"/>
    <col min="13063" max="13063" width="16.109375" style="15" customWidth="1"/>
    <col min="13064" max="13064" width="18.33203125" style="15" customWidth="1"/>
    <col min="13065" max="13065" width="10.88671875" style="15" bestFit="1" customWidth="1"/>
    <col min="13066" max="13066" width="14.33203125" style="15" customWidth="1"/>
    <col min="13067" max="13067" width="14.44140625" style="15" bestFit="1" customWidth="1"/>
    <col min="13068" max="13310" width="8.88671875" style="15"/>
    <col min="13311" max="13311" width="1.5546875" style="15" customWidth="1"/>
    <col min="13312" max="13313" width="9.33203125" style="15" customWidth="1"/>
    <col min="13314" max="13314" width="13.44140625" style="15" customWidth="1"/>
    <col min="13315" max="13315" width="32.5546875" style="15" customWidth="1"/>
    <col min="13316" max="13316" width="21.33203125" style="15" customWidth="1"/>
    <col min="13317" max="13317" width="12.33203125" style="15" customWidth="1"/>
    <col min="13318" max="13318" width="11.109375" style="15" customWidth="1"/>
    <col min="13319" max="13319" width="16.109375" style="15" customWidth="1"/>
    <col min="13320" max="13320" width="18.33203125" style="15" customWidth="1"/>
    <col min="13321" max="13321" width="10.88671875" style="15" bestFit="1" customWidth="1"/>
    <col min="13322" max="13322" width="14.33203125" style="15" customWidth="1"/>
    <col min="13323" max="13323" width="14.44140625" style="15" bestFit="1" customWidth="1"/>
    <col min="13324" max="13566" width="8.88671875" style="15"/>
    <col min="13567" max="13567" width="1.5546875" style="15" customWidth="1"/>
    <col min="13568" max="13569" width="9.33203125" style="15" customWidth="1"/>
    <col min="13570" max="13570" width="13.44140625" style="15" customWidth="1"/>
    <col min="13571" max="13571" width="32.5546875" style="15" customWidth="1"/>
    <col min="13572" max="13572" width="21.33203125" style="15" customWidth="1"/>
    <col min="13573" max="13573" width="12.33203125" style="15" customWidth="1"/>
    <col min="13574" max="13574" width="11.109375" style="15" customWidth="1"/>
    <col min="13575" max="13575" width="16.109375" style="15" customWidth="1"/>
    <col min="13576" max="13576" width="18.33203125" style="15" customWidth="1"/>
    <col min="13577" max="13577" width="10.88671875" style="15" bestFit="1" customWidth="1"/>
    <col min="13578" max="13578" width="14.33203125" style="15" customWidth="1"/>
    <col min="13579" max="13579" width="14.44140625" style="15" bestFit="1" customWidth="1"/>
    <col min="13580" max="13822" width="8.88671875" style="15"/>
    <col min="13823" max="13823" width="1.5546875" style="15" customWidth="1"/>
    <col min="13824" max="13825" width="9.33203125" style="15" customWidth="1"/>
    <col min="13826" max="13826" width="13.44140625" style="15" customWidth="1"/>
    <col min="13827" max="13827" width="32.5546875" style="15" customWidth="1"/>
    <col min="13828" max="13828" width="21.33203125" style="15" customWidth="1"/>
    <col min="13829" max="13829" width="12.33203125" style="15" customWidth="1"/>
    <col min="13830" max="13830" width="11.109375" style="15" customWidth="1"/>
    <col min="13831" max="13831" width="16.109375" style="15" customWidth="1"/>
    <col min="13832" max="13832" width="18.33203125" style="15" customWidth="1"/>
    <col min="13833" max="13833" width="10.88671875" style="15" bestFit="1" customWidth="1"/>
    <col min="13834" max="13834" width="14.33203125" style="15" customWidth="1"/>
    <col min="13835" max="13835" width="14.44140625" style="15" bestFit="1" customWidth="1"/>
    <col min="13836" max="14078" width="8.88671875" style="15"/>
    <col min="14079" max="14079" width="1.5546875" style="15" customWidth="1"/>
    <col min="14080" max="14081" width="9.33203125" style="15" customWidth="1"/>
    <col min="14082" max="14082" width="13.44140625" style="15" customWidth="1"/>
    <col min="14083" max="14083" width="32.5546875" style="15" customWidth="1"/>
    <col min="14084" max="14084" width="21.33203125" style="15" customWidth="1"/>
    <col min="14085" max="14085" width="12.33203125" style="15" customWidth="1"/>
    <col min="14086" max="14086" width="11.109375" style="15" customWidth="1"/>
    <col min="14087" max="14087" width="16.109375" style="15" customWidth="1"/>
    <col min="14088" max="14088" width="18.33203125" style="15" customWidth="1"/>
    <col min="14089" max="14089" width="10.88671875" style="15" bestFit="1" customWidth="1"/>
    <col min="14090" max="14090" width="14.33203125" style="15" customWidth="1"/>
    <col min="14091" max="14091" width="14.44140625" style="15" bestFit="1" customWidth="1"/>
    <col min="14092" max="14334" width="8.88671875" style="15"/>
    <col min="14335" max="14335" width="1.5546875" style="15" customWidth="1"/>
    <col min="14336" max="14337" width="9.33203125" style="15" customWidth="1"/>
    <col min="14338" max="14338" width="13.44140625" style="15" customWidth="1"/>
    <col min="14339" max="14339" width="32.5546875" style="15" customWidth="1"/>
    <col min="14340" max="14340" width="21.33203125" style="15" customWidth="1"/>
    <col min="14341" max="14341" width="12.33203125" style="15" customWidth="1"/>
    <col min="14342" max="14342" width="11.109375" style="15" customWidth="1"/>
    <col min="14343" max="14343" width="16.109375" style="15" customWidth="1"/>
    <col min="14344" max="14344" width="18.33203125" style="15" customWidth="1"/>
    <col min="14345" max="14345" width="10.88671875" style="15" bestFit="1" customWidth="1"/>
    <col min="14346" max="14346" width="14.33203125" style="15" customWidth="1"/>
    <col min="14347" max="14347" width="14.44140625" style="15" bestFit="1" customWidth="1"/>
    <col min="14348" max="14590" width="8.88671875" style="15"/>
    <col min="14591" max="14591" width="1.5546875" style="15" customWidth="1"/>
    <col min="14592" max="14593" width="9.33203125" style="15" customWidth="1"/>
    <col min="14594" max="14594" width="13.44140625" style="15" customWidth="1"/>
    <col min="14595" max="14595" width="32.5546875" style="15" customWidth="1"/>
    <col min="14596" max="14596" width="21.33203125" style="15" customWidth="1"/>
    <col min="14597" max="14597" width="12.33203125" style="15" customWidth="1"/>
    <col min="14598" max="14598" width="11.109375" style="15" customWidth="1"/>
    <col min="14599" max="14599" width="16.109375" style="15" customWidth="1"/>
    <col min="14600" max="14600" width="18.33203125" style="15" customWidth="1"/>
    <col min="14601" max="14601" width="10.88671875" style="15" bestFit="1" customWidth="1"/>
    <col min="14602" max="14602" width="14.33203125" style="15" customWidth="1"/>
    <col min="14603" max="14603" width="14.44140625" style="15" bestFit="1" customWidth="1"/>
    <col min="14604" max="14846" width="8.88671875" style="15"/>
    <col min="14847" max="14847" width="1.5546875" style="15" customWidth="1"/>
    <col min="14848" max="14849" width="9.33203125" style="15" customWidth="1"/>
    <col min="14850" max="14850" width="13.44140625" style="15" customWidth="1"/>
    <col min="14851" max="14851" width="32.5546875" style="15" customWidth="1"/>
    <col min="14852" max="14852" width="21.33203125" style="15" customWidth="1"/>
    <col min="14853" max="14853" width="12.33203125" style="15" customWidth="1"/>
    <col min="14854" max="14854" width="11.109375" style="15" customWidth="1"/>
    <col min="14855" max="14855" width="16.109375" style="15" customWidth="1"/>
    <col min="14856" max="14856" width="18.33203125" style="15" customWidth="1"/>
    <col min="14857" max="14857" width="10.88671875" style="15" bestFit="1" customWidth="1"/>
    <col min="14858" max="14858" width="14.33203125" style="15" customWidth="1"/>
    <col min="14859" max="14859" width="14.44140625" style="15" bestFit="1" customWidth="1"/>
    <col min="14860" max="15102" width="8.88671875" style="15"/>
    <col min="15103" max="15103" width="1.5546875" style="15" customWidth="1"/>
    <col min="15104" max="15105" width="9.33203125" style="15" customWidth="1"/>
    <col min="15106" max="15106" width="13.44140625" style="15" customWidth="1"/>
    <col min="15107" max="15107" width="32.5546875" style="15" customWidth="1"/>
    <col min="15108" max="15108" width="21.33203125" style="15" customWidth="1"/>
    <col min="15109" max="15109" width="12.33203125" style="15" customWidth="1"/>
    <col min="15110" max="15110" width="11.109375" style="15" customWidth="1"/>
    <col min="15111" max="15111" width="16.109375" style="15" customWidth="1"/>
    <col min="15112" max="15112" width="18.33203125" style="15" customWidth="1"/>
    <col min="15113" max="15113" width="10.88671875" style="15" bestFit="1" customWidth="1"/>
    <col min="15114" max="15114" width="14.33203125" style="15" customWidth="1"/>
    <col min="15115" max="15115" width="14.44140625" style="15" bestFit="1" customWidth="1"/>
    <col min="15116" max="15358" width="8.88671875" style="15"/>
    <col min="15359" max="15359" width="1.5546875" style="15" customWidth="1"/>
    <col min="15360" max="15361" width="9.33203125" style="15" customWidth="1"/>
    <col min="15362" max="15362" width="13.44140625" style="15" customWidth="1"/>
    <col min="15363" max="15363" width="32.5546875" style="15" customWidth="1"/>
    <col min="15364" max="15364" width="21.33203125" style="15" customWidth="1"/>
    <col min="15365" max="15365" width="12.33203125" style="15" customWidth="1"/>
    <col min="15366" max="15366" width="11.109375" style="15" customWidth="1"/>
    <col min="15367" max="15367" width="16.109375" style="15" customWidth="1"/>
    <col min="15368" max="15368" width="18.33203125" style="15" customWidth="1"/>
    <col min="15369" max="15369" width="10.88671875" style="15" bestFit="1" customWidth="1"/>
    <col min="15370" max="15370" width="14.33203125" style="15" customWidth="1"/>
    <col min="15371" max="15371" width="14.44140625" style="15" bestFit="1" customWidth="1"/>
    <col min="15372" max="15614" width="8.88671875" style="15"/>
    <col min="15615" max="15615" width="1.5546875" style="15" customWidth="1"/>
    <col min="15616" max="15617" width="9.33203125" style="15" customWidth="1"/>
    <col min="15618" max="15618" width="13.44140625" style="15" customWidth="1"/>
    <col min="15619" max="15619" width="32.5546875" style="15" customWidth="1"/>
    <col min="15620" max="15620" width="21.33203125" style="15" customWidth="1"/>
    <col min="15621" max="15621" width="12.33203125" style="15" customWidth="1"/>
    <col min="15622" max="15622" width="11.109375" style="15" customWidth="1"/>
    <col min="15623" max="15623" width="16.109375" style="15" customWidth="1"/>
    <col min="15624" max="15624" width="18.33203125" style="15" customWidth="1"/>
    <col min="15625" max="15625" width="10.88671875" style="15" bestFit="1" customWidth="1"/>
    <col min="15626" max="15626" width="14.33203125" style="15" customWidth="1"/>
    <col min="15627" max="15627" width="14.44140625" style="15" bestFit="1" customWidth="1"/>
    <col min="15628" max="15870" width="8.88671875" style="15"/>
    <col min="15871" max="15871" width="1.5546875" style="15" customWidth="1"/>
    <col min="15872" max="15873" width="9.33203125" style="15" customWidth="1"/>
    <col min="15874" max="15874" width="13.44140625" style="15" customWidth="1"/>
    <col min="15875" max="15875" width="32.5546875" style="15" customWidth="1"/>
    <col min="15876" max="15876" width="21.33203125" style="15" customWidth="1"/>
    <col min="15877" max="15877" width="12.33203125" style="15" customWidth="1"/>
    <col min="15878" max="15878" width="11.109375" style="15" customWidth="1"/>
    <col min="15879" max="15879" width="16.109375" style="15" customWidth="1"/>
    <col min="15880" max="15880" width="18.33203125" style="15" customWidth="1"/>
    <col min="15881" max="15881" width="10.88671875" style="15" bestFit="1" customWidth="1"/>
    <col min="15882" max="15882" width="14.33203125" style="15" customWidth="1"/>
    <col min="15883" max="15883" width="14.44140625" style="15" bestFit="1" customWidth="1"/>
    <col min="15884" max="16126" width="8.88671875" style="15"/>
    <col min="16127" max="16127" width="1.5546875" style="15" customWidth="1"/>
    <col min="16128" max="16129" width="9.33203125" style="15" customWidth="1"/>
    <col min="16130" max="16130" width="13.44140625" style="15" customWidth="1"/>
    <col min="16131" max="16131" width="32.5546875" style="15" customWidth="1"/>
    <col min="16132" max="16132" width="21.33203125" style="15" customWidth="1"/>
    <col min="16133" max="16133" width="12.33203125" style="15" customWidth="1"/>
    <col min="16134" max="16134" width="11.109375" style="15" customWidth="1"/>
    <col min="16135" max="16135" width="16.109375" style="15" customWidth="1"/>
    <col min="16136" max="16136" width="18.33203125" style="15" customWidth="1"/>
    <col min="16137" max="16137" width="10.88671875" style="15" bestFit="1" customWidth="1"/>
    <col min="16138" max="16138" width="14.33203125" style="15" customWidth="1"/>
    <col min="16139" max="16139" width="14.44140625" style="15" bestFit="1" customWidth="1"/>
    <col min="16140" max="16384" width="8.88671875" style="15"/>
  </cols>
  <sheetData>
    <row r="1" spans="1:25" s="73" customFormat="1" ht="22.2" customHeight="1" x14ac:dyDescent="0.3">
      <c r="A1" s="71" t="s">
        <v>305</v>
      </c>
      <c r="B1" s="168" t="s">
        <v>306</v>
      </c>
      <c r="C1" s="169"/>
      <c r="D1" s="72" t="s">
        <v>302</v>
      </c>
      <c r="E1" s="192" t="s">
        <v>303</v>
      </c>
      <c r="F1" s="193"/>
      <c r="G1" s="193"/>
      <c r="H1" s="194"/>
      <c r="J1" s="74"/>
    </row>
    <row r="2" spans="1:25" s="73" customFormat="1" ht="21" customHeight="1" x14ac:dyDescent="0.3">
      <c r="A2" s="75" t="s">
        <v>307</v>
      </c>
      <c r="B2" s="176" t="s">
        <v>339</v>
      </c>
      <c r="C2" s="191"/>
      <c r="D2" s="76"/>
      <c r="E2" s="176" t="s">
        <v>345</v>
      </c>
      <c r="F2" s="177"/>
      <c r="G2" s="177"/>
      <c r="H2" s="178"/>
      <c r="J2" s="74"/>
    </row>
    <row r="3" spans="1:25" s="73" customFormat="1" ht="12.75" customHeight="1" x14ac:dyDescent="0.3">
      <c r="A3" s="75"/>
      <c r="B3" s="176" t="s">
        <v>340</v>
      </c>
      <c r="C3" s="191"/>
      <c r="D3" s="77"/>
      <c r="E3" s="179" t="s">
        <v>346</v>
      </c>
      <c r="F3" s="180"/>
      <c r="G3" s="180"/>
      <c r="H3" s="181"/>
      <c r="J3" s="16"/>
    </row>
    <row r="4" spans="1:25" s="73" customFormat="1" ht="12.75" customHeight="1" x14ac:dyDescent="0.3">
      <c r="A4" s="75"/>
      <c r="B4" s="176" t="s">
        <v>341</v>
      </c>
      <c r="C4" s="191"/>
      <c r="D4" s="78" t="s">
        <v>304</v>
      </c>
      <c r="E4" s="182"/>
      <c r="F4" s="183"/>
      <c r="G4" s="183"/>
      <c r="H4" s="184"/>
      <c r="J4" s="74"/>
    </row>
    <row r="5" spans="1:25" s="73" customFormat="1" ht="16.5" customHeight="1" x14ac:dyDescent="0.3">
      <c r="A5" s="79"/>
      <c r="B5" s="185"/>
      <c r="C5" s="212"/>
      <c r="D5" s="80" t="s">
        <v>349</v>
      </c>
      <c r="E5" s="195" t="s">
        <v>348</v>
      </c>
      <c r="F5" s="196"/>
      <c r="G5" s="196"/>
      <c r="H5" s="197"/>
      <c r="J5" s="74"/>
    </row>
    <row r="6" spans="1:25" s="73" customFormat="1" ht="14.4" customHeight="1" x14ac:dyDescent="0.3">
      <c r="A6" s="81" t="s">
        <v>309</v>
      </c>
      <c r="B6" s="210" t="s">
        <v>310</v>
      </c>
      <c r="C6" s="211"/>
      <c r="D6" s="82" t="s">
        <v>308</v>
      </c>
      <c r="E6" s="188">
        <f ca="1">TODAY()</f>
        <v>45849</v>
      </c>
      <c r="F6" s="189"/>
      <c r="G6" s="189"/>
      <c r="H6" s="190"/>
      <c r="J6" s="74"/>
    </row>
    <row r="7" spans="1:25" s="73" customFormat="1" ht="18" customHeight="1" x14ac:dyDescent="0.3">
      <c r="A7" s="81" t="s">
        <v>312</v>
      </c>
      <c r="B7" s="210" t="s">
        <v>313</v>
      </c>
      <c r="C7" s="211"/>
      <c r="D7" s="83" t="s">
        <v>351</v>
      </c>
      <c r="E7" s="198" t="s">
        <v>350</v>
      </c>
      <c r="F7" s="199"/>
      <c r="G7" s="199"/>
      <c r="H7" s="200"/>
      <c r="J7" s="74"/>
    </row>
    <row r="8" spans="1:25" s="73" customFormat="1" ht="12.75" customHeight="1" x14ac:dyDescent="0.3">
      <c r="A8" s="84"/>
      <c r="B8" s="164"/>
      <c r="C8" s="165"/>
      <c r="D8" s="85" t="s">
        <v>311</v>
      </c>
      <c r="E8" s="201" t="str">
        <f>E1</f>
        <v>Zerone Technologies Pvt Ltd</v>
      </c>
      <c r="F8" s="202"/>
      <c r="G8" s="202"/>
      <c r="H8" s="203"/>
      <c r="J8" s="74"/>
    </row>
    <row r="9" spans="1:25" s="73" customFormat="1" ht="17.399999999999999" customHeight="1" x14ac:dyDescent="0.3">
      <c r="A9" s="86"/>
      <c r="B9" s="164"/>
      <c r="C9" s="165"/>
      <c r="D9" s="87"/>
      <c r="E9" s="170" t="s">
        <v>345</v>
      </c>
      <c r="F9" s="171"/>
      <c r="G9" s="171"/>
      <c r="H9" s="172"/>
      <c r="J9" s="74"/>
    </row>
    <row r="10" spans="1:25" s="73" customFormat="1" ht="17.399999999999999" customHeight="1" x14ac:dyDescent="0.3">
      <c r="A10" s="86"/>
      <c r="B10" s="213"/>
      <c r="C10" s="214"/>
      <c r="D10" s="88"/>
      <c r="E10" s="185" t="s">
        <v>347</v>
      </c>
      <c r="F10" s="186"/>
      <c r="G10" s="186"/>
      <c r="H10" s="187"/>
      <c r="J10" s="74"/>
    </row>
    <row r="11" spans="1:25" s="73" customFormat="1" ht="17.399999999999999" customHeight="1" x14ac:dyDescent="0.3">
      <c r="A11" s="89" t="s">
        <v>314</v>
      </c>
      <c r="B11" s="166" t="s">
        <v>315</v>
      </c>
      <c r="C11" s="167"/>
      <c r="D11" s="90" t="s">
        <v>299</v>
      </c>
      <c r="E11" s="173" t="s">
        <v>352</v>
      </c>
      <c r="F11" s="174"/>
      <c r="G11" s="174"/>
      <c r="H11" s="175"/>
      <c r="J11" s="74"/>
    </row>
    <row r="12" spans="1:25" s="73" customFormat="1" ht="5.25" customHeight="1" x14ac:dyDescent="0.3">
      <c r="A12" s="91"/>
      <c r="B12" s="92"/>
      <c r="C12" s="93"/>
      <c r="D12" s="93"/>
      <c r="E12" s="93"/>
      <c r="F12" s="94"/>
      <c r="G12" s="94"/>
      <c r="H12" s="95"/>
      <c r="J12" s="74"/>
    </row>
    <row r="13" spans="1:25" s="73" customFormat="1" x14ac:dyDescent="0.3">
      <c r="A13" s="158" t="s">
        <v>316</v>
      </c>
      <c r="B13" s="159"/>
      <c r="C13" s="159"/>
      <c r="D13" s="159"/>
      <c r="E13" s="159"/>
      <c r="F13" s="159"/>
      <c r="G13" s="159"/>
      <c r="H13" s="160"/>
      <c r="J13" s="74"/>
    </row>
    <row r="14" spans="1:25" s="73" customFormat="1" ht="5.25" customHeight="1" thickBot="1" x14ac:dyDescent="0.35">
      <c r="A14" s="96"/>
      <c r="B14" s="97"/>
      <c r="C14" s="97"/>
      <c r="D14" s="97"/>
      <c r="E14" s="97"/>
      <c r="F14" s="98"/>
      <c r="G14" s="98"/>
      <c r="H14" s="99"/>
      <c r="J14" s="74"/>
    </row>
    <row r="15" spans="1:25" s="100" customFormat="1" ht="20.25" customHeight="1" x14ac:dyDescent="0.3">
      <c r="A15" s="161" t="s">
        <v>317</v>
      </c>
      <c r="B15" s="162"/>
      <c r="C15" s="162"/>
      <c r="D15" s="162"/>
      <c r="E15" s="162"/>
      <c r="F15" s="162"/>
      <c r="G15" s="162"/>
      <c r="H15" s="163"/>
      <c r="J15" s="101"/>
    </row>
    <row r="16" spans="1:25" s="18" customFormat="1" ht="17.25" customHeight="1" x14ac:dyDescent="0.3">
      <c r="A16" s="140" t="s">
        <v>274</v>
      </c>
      <c r="B16" s="102" t="s">
        <v>1</v>
      </c>
      <c r="C16" s="103" t="s">
        <v>2</v>
      </c>
      <c r="D16" s="103" t="s">
        <v>343</v>
      </c>
      <c r="E16" s="103" t="s">
        <v>344</v>
      </c>
      <c r="F16" s="103" t="s">
        <v>281</v>
      </c>
      <c r="G16" s="103" t="s">
        <v>318</v>
      </c>
      <c r="H16" s="104" t="s">
        <v>319</v>
      </c>
      <c r="I16" s="100" t="s">
        <v>354</v>
      </c>
      <c r="J16" s="142" t="s">
        <v>353</v>
      </c>
      <c r="L16" s="100"/>
      <c r="M16" s="100"/>
      <c r="N16" s="100"/>
      <c r="O16" s="100"/>
      <c r="P16" s="100"/>
      <c r="Q16" s="100"/>
      <c r="R16" s="100"/>
      <c r="S16" s="100"/>
      <c r="T16" s="100"/>
      <c r="U16" s="100"/>
      <c r="V16" s="100"/>
      <c r="W16" s="100"/>
      <c r="X16" s="100"/>
      <c r="Y16" s="100"/>
    </row>
    <row r="17" spans="1:25" x14ac:dyDescent="0.3">
      <c r="A17" s="141">
        <v>1</v>
      </c>
      <c r="B17" s="65" t="s">
        <v>26</v>
      </c>
      <c r="C17" s="138" t="str">
        <f>_xlfn.XLOOKUP(B17, BOQ!$B$2:$B$1000, BOQ!$C$2:$C$1000, "Not found")</f>
        <v>B.tech/Chief</v>
      </c>
      <c r="D17" s="138">
        <f>_xlfn.XLOOKUP(B17, BOQ!$B$2:$B$1000, BOQ!$D$2:$D$1000, "Not found")</f>
        <v>0</v>
      </c>
      <c r="E17" s="138" t="str">
        <f>_xlfn.XLOOKUP(B17, BOQ!$B$2:$B$1000, BOQ!$E$2:$E$1000, "Not found")</f>
        <v>No.</v>
      </c>
      <c r="F17" s="55">
        <v>1</v>
      </c>
      <c r="G17" s="66">
        <v>20000</v>
      </c>
      <c r="H17" s="139">
        <f>G17*F17</f>
        <v>20000</v>
      </c>
      <c r="J17" s="143">
        <f>_xlfn.XLOOKUP(B17, BOQ!$B$2:$B$1000, BOQ!$F$2:$F$1000, "Not found")</f>
        <v>3</v>
      </c>
    </row>
    <row r="18" spans="1:25" ht="96" x14ac:dyDescent="0.3">
      <c r="A18" s="141">
        <v>2</v>
      </c>
      <c r="B18" s="65" t="s">
        <v>28</v>
      </c>
      <c r="C18" s="138" t="str">
        <f>_xlfn.XLOOKUP(B18, BOQ!$B$2:$B$1000, BOQ!$C$2:$C$1000, "Not found")</f>
        <v>Samsung</v>
      </c>
      <c r="D18" s="138" t="str">
        <f>_xlfn.XLOOKUP(B18, BOQ!$B$2:$B$1000, BOQ!$D$2:$D$1000, "Not found")</f>
        <v>QM75 C</v>
      </c>
      <c r="E18" s="138" t="str">
        <f>_xlfn.XLOOKUP(B18, BOQ!$B$2:$B$1000, BOQ!$E$2:$E$1000, "Not found")</f>
        <v>No.</v>
      </c>
      <c r="F18" s="55">
        <v>9</v>
      </c>
      <c r="G18" s="66">
        <v>70000</v>
      </c>
      <c r="H18" s="139">
        <f t="shared" ref="H18:H20" si="0">G18*F18</f>
        <v>630000</v>
      </c>
      <c r="J18" s="143">
        <f>_xlfn.XLOOKUP(B18, BOQ!$B$2:$B$1000, BOQ!$F$2:$F$1000, "Not found")</f>
        <v>9</v>
      </c>
    </row>
    <row r="19" spans="1:25" ht="96" x14ac:dyDescent="0.3">
      <c r="A19" s="141">
        <v>3</v>
      </c>
      <c r="B19" s="65" t="s">
        <v>24</v>
      </c>
      <c r="C19" s="138" t="str">
        <f>_xlfn.XLOOKUP(B19, BOQ!$B$2:$B$1000, BOQ!$C$2:$C$1000, "Not found")</f>
        <v>Samsung</v>
      </c>
      <c r="D19" s="138" t="str">
        <f>_xlfn.XLOOKUP(B19, BOQ!$B$2:$B$1000, BOQ!$D$2:$D$1000, "Not found")</f>
        <v>QM65 C</v>
      </c>
      <c r="E19" s="138" t="str">
        <f>_xlfn.XLOOKUP(B19, BOQ!$B$2:$B$1000, BOQ!$E$2:$E$1000, "Not found")</f>
        <v>No.</v>
      </c>
      <c r="F19" s="55">
        <v>2</v>
      </c>
      <c r="G19" s="66">
        <v>10000</v>
      </c>
      <c r="H19" s="139">
        <f t="shared" si="0"/>
        <v>20000</v>
      </c>
      <c r="J19" s="143">
        <f>_xlfn.XLOOKUP(B19, BOQ!$B$2:$B$1000, BOQ!$F$2:$F$1000, "Not found")</f>
        <v>30</v>
      </c>
    </row>
    <row r="20" spans="1:25" x14ac:dyDescent="0.3">
      <c r="A20" s="141">
        <v>4</v>
      </c>
      <c r="B20" s="65"/>
      <c r="C20" s="138">
        <f>_xlfn.XLOOKUP(B20, BOQ!$B$2:$B$1000, BOQ!$C$2:$C$1000, "Not found")</f>
        <v>0</v>
      </c>
      <c r="D20" s="138">
        <f>_xlfn.XLOOKUP(B20, BOQ!$B$2:$B$1000, BOQ!$D$2:$D$1000, "Not found")</f>
        <v>0</v>
      </c>
      <c r="E20" s="138">
        <f>_xlfn.XLOOKUP(B20, BOQ!$B$2:$B$1000, BOQ!$E$2:$E$1000, "Not found")</f>
        <v>0</v>
      </c>
      <c r="F20" s="55">
        <v>4</v>
      </c>
      <c r="G20" s="66">
        <v>78900</v>
      </c>
      <c r="H20" s="139">
        <f t="shared" si="0"/>
        <v>315600</v>
      </c>
      <c r="J20" s="143">
        <f>_xlfn.XLOOKUP(B20, BOQ!$B$2:$B$1000, BOQ!$F$2:$F$1000, "Not found")</f>
        <v>0</v>
      </c>
    </row>
    <row r="21" spans="1:25" ht="72" x14ac:dyDescent="0.3">
      <c r="A21" s="141">
        <v>5</v>
      </c>
      <c r="B21" s="65" t="s">
        <v>256</v>
      </c>
      <c r="C21" s="138" t="str">
        <f>_xlfn.XLOOKUP(B21, BOQ!$B$2:$B$1000, BOQ!$C$2:$C$1000, "Not found")</f>
        <v>Polycab</v>
      </c>
      <c r="D21" s="138">
        <f>_xlfn.XLOOKUP(B21, BOQ!$B$2:$B$1000, BOQ!$D$2:$D$1000, "Not found")</f>
        <v>0</v>
      </c>
      <c r="E21" s="138" t="str">
        <f>_xlfn.XLOOKUP(B21, BOQ!$B$2:$B$1000, BOQ!$E$2:$E$1000, "Not found")</f>
        <v>Mtr</v>
      </c>
      <c r="F21" s="55">
        <v>2000</v>
      </c>
      <c r="G21" s="66"/>
      <c r="H21" s="139"/>
      <c r="J21" s="143">
        <f>_xlfn.XLOOKUP(B21, BOQ!$B$2:$B$1000, BOQ!$F$2:$F$1000, "Not found")</f>
        <v>2000</v>
      </c>
    </row>
    <row r="22" spans="1:25" x14ac:dyDescent="0.3">
      <c r="A22" s="141"/>
      <c r="B22" s="65"/>
      <c r="C22" s="138">
        <f>_xlfn.XLOOKUP(B22, BOQ!$B$2:$B$1000, BOQ!$C$2:$C$1000, "Not found")</f>
        <v>0</v>
      </c>
      <c r="D22" s="138">
        <f>_xlfn.XLOOKUP(B22, BOQ!$B$2:$B$1000, BOQ!$D$2:$D$1000, "Not found")</f>
        <v>0</v>
      </c>
      <c r="E22" s="138">
        <f>_xlfn.XLOOKUP(B22, BOQ!$B$2:$B$1000, BOQ!$E$2:$E$1000, "Not found")</f>
        <v>0</v>
      </c>
      <c r="F22" s="55"/>
      <c r="G22" s="66"/>
      <c r="H22" s="139">
        <f>G22*F22</f>
        <v>0</v>
      </c>
      <c r="J22" s="143">
        <f>_xlfn.XLOOKUP(B22, BOQ!$B$2:$B$1000, BOQ!$F$2:$F$1000, "Not found")</f>
        <v>0</v>
      </c>
    </row>
    <row r="23" spans="1:25" x14ac:dyDescent="0.3">
      <c r="A23" s="141"/>
      <c r="B23" s="65"/>
      <c r="C23" s="138">
        <f>_xlfn.XLOOKUP(B23, BOQ!$B$2:$B$1000, BOQ!$C$2:$C$1000, "Not found")</f>
        <v>0</v>
      </c>
      <c r="D23" s="138">
        <f>_xlfn.XLOOKUP(B23, BOQ!$B$2:$B$1000, BOQ!$D$2:$D$1000, "Not found")</f>
        <v>0</v>
      </c>
      <c r="E23" s="138">
        <f>_xlfn.XLOOKUP(B23, BOQ!$B$2:$B$1000, BOQ!$E$2:$E$1000, "Not found")</f>
        <v>0</v>
      </c>
      <c r="F23" s="55"/>
      <c r="G23" s="66"/>
      <c r="H23" s="139">
        <f>G23*F23</f>
        <v>0</v>
      </c>
      <c r="J23" s="143">
        <f>_xlfn.XLOOKUP(B23, BOQ!$B$2:$B$1000, BOQ!$F$2:$F$1000, "Not found")</f>
        <v>0</v>
      </c>
    </row>
    <row r="24" spans="1:25" s="18" customFormat="1" ht="15.75" customHeight="1" x14ac:dyDescent="0.3">
      <c r="A24" s="105" t="s">
        <v>320</v>
      </c>
      <c r="B24" s="106"/>
      <c r="C24" s="106"/>
      <c r="D24" s="107"/>
      <c r="E24" s="67"/>
      <c r="F24" s="68"/>
      <c r="G24" s="108" t="s">
        <v>287</v>
      </c>
      <c r="H24" s="109">
        <f>SUM(H17:H23)</f>
        <v>985600</v>
      </c>
      <c r="I24" s="100"/>
      <c r="J24" s="110"/>
      <c r="L24" s="100"/>
      <c r="M24" s="100"/>
      <c r="N24" s="100"/>
      <c r="O24" s="100"/>
      <c r="P24" s="100"/>
      <c r="Q24" s="100"/>
      <c r="R24" s="100"/>
      <c r="S24" s="100"/>
      <c r="T24" s="100"/>
      <c r="U24" s="100"/>
      <c r="V24" s="100"/>
      <c r="W24" s="100"/>
      <c r="X24" s="100"/>
      <c r="Y24" s="100"/>
    </row>
    <row r="25" spans="1:25" ht="15.75" customHeight="1" x14ac:dyDescent="0.3">
      <c r="A25" s="111" t="s">
        <v>321</v>
      </c>
      <c r="B25" s="112"/>
      <c r="C25" s="112"/>
      <c r="D25" s="113"/>
      <c r="E25" s="227" t="s">
        <v>322</v>
      </c>
      <c r="F25" s="228"/>
      <c r="G25" s="69"/>
      <c r="H25" s="114"/>
    </row>
    <row r="26" spans="1:25" ht="31.5" customHeight="1" x14ac:dyDescent="0.3">
      <c r="A26" s="115" t="s">
        <v>323</v>
      </c>
      <c r="B26" s="112"/>
      <c r="C26" s="112"/>
      <c r="D26" s="113"/>
      <c r="E26" s="229" t="s">
        <v>324</v>
      </c>
      <c r="F26" s="230"/>
      <c r="G26" s="69"/>
      <c r="H26" s="116">
        <f>H24-H25</f>
        <v>985600</v>
      </c>
      <c r="J26" s="117"/>
    </row>
    <row r="27" spans="1:25" ht="20.25" customHeight="1" x14ac:dyDescent="0.3">
      <c r="A27" s="115" t="s">
        <v>325</v>
      </c>
      <c r="B27" s="112"/>
      <c r="C27" s="112"/>
      <c r="D27" s="113"/>
      <c r="E27" s="231" t="s">
        <v>326</v>
      </c>
      <c r="F27" s="232"/>
      <c r="G27" s="69">
        <v>0.09</v>
      </c>
      <c r="H27" s="118">
        <f>H26*G27</f>
        <v>88704</v>
      </c>
      <c r="I27" s="70"/>
      <c r="J27" s="117"/>
    </row>
    <row r="28" spans="1:25" ht="20.25" customHeight="1" x14ac:dyDescent="0.3">
      <c r="A28" s="119"/>
      <c r="B28" s="120"/>
      <c r="C28" s="120"/>
      <c r="D28" s="121"/>
      <c r="E28" s="233"/>
      <c r="F28" s="234"/>
      <c r="G28" s="69">
        <v>0.09</v>
      </c>
      <c r="H28" s="118">
        <f>H26*G28</f>
        <v>88704</v>
      </c>
      <c r="I28" s="70"/>
    </row>
    <row r="29" spans="1:25" s="18" customFormat="1" ht="24.6" customHeight="1" x14ac:dyDescent="0.3">
      <c r="A29" s="122" t="s">
        <v>338</v>
      </c>
      <c r="B29" s="207" t="str" cm="1">
        <f t="array" ref="B29">SpellIndian(H29)</f>
        <v>Rupees Eleven Lakh Sixty Three Thousand Eight Only</v>
      </c>
      <c r="C29" s="208"/>
      <c r="D29" s="208"/>
      <c r="E29" s="208"/>
      <c r="F29" s="209"/>
      <c r="G29" s="123" t="s">
        <v>327</v>
      </c>
      <c r="H29" s="124">
        <f>ROUND(SUM(H26:H28),0)</f>
        <v>1163008</v>
      </c>
      <c r="I29" s="100"/>
      <c r="J29" s="101"/>
      <c r="L29" s="100"/>
      <c r="M29" s="100"/>
      <c r="N29" s="100"/>
      <c r="O29" s="100"/>
      <c r="P29" s="100"/>
      <c r="Q29" s="100"/>
      <c r="R29" s="100"/>
      <c r="S29" s="100"/>
      <c r="T29" s="100"/>
      <c r="U29" s="100"/>
      <c r="V29" s="100"/>
      <c r="W29" s="100"/>
      <c r="X29" s="100"/>
      <c r="Y29" s="100"/>
    </row>
    <row r="30" spans="1:25" s="73" customFormat="1" x14ac:dyDescent="0.3">
      <c r="A30" s="125"/>
      <c r="F30" s="74"/>
      <c r="G30" s="74"/>
      <c r="H30" s="126"/>
      <c r="J30" s="74"/>
    </row>
    <row r="31" spans="1:25" s="100" customFormat="1" ht="13.8" x14ac:dyDescent="0.3">
      <c r="A31" s="235" t="s">
        <v>342</v>
      </c>
      <c r="B31" s="236"/>
      <c r="C31" s="236"/>
      <c r="D31" s="236"/>
      <c r="E31" s="236"/>
      <c r="F31" s="236"/>
      <c r="G31" s="236"/>
      <c r="H31" s="237"/>
      <c r="J31" s="101"/>
    </row>
    <row r="32" spans="1:25" s="73" customFormat="1" x14ac:dyDescent="0.3">
      <c r="A32" s="127"/>
      <c r="B32" s="128"/>
      <c r="C32" s="128"/>
      <c r="D32" s="128"/>
      <c r="E32" s="128"/>
      <c r="F32" s="129"/>
      <c r="G32" s="129"/>
      <c r="H32" s="130"/>
      <c r="J32" s="74"/>
    </row>
    <row r="33" spans="1:10" s="73" customFormat="1" x14ac:dyDescent="0.3">
      <c r="A33" s="131">
        <v>1</v>
      </c>
      <c r="B33" s="132" t="s">
        <v>328</v>
      </c>
      <c r="C33" s="128"/>
      <c r="D33" s="128"/>
      <c r="E33" s="128"/>
      <c r="F33" s="129"/>
      <c r="G33" s="129"/>
      <c r="H33" s="130"/>
      <c r="J33" s="74"/>
    </row>
    <row r="34" spans="1:10" s="73" customFormat="1" x14ac:dyDescent="0.3">
      <c r="A34" s="131">
        <v>2</v>
      </c>
      <c r="B34" s="133" t="s">
        <v>329</v>
      </c>
      <c r="C34" s="128"/>
      <c r="D34" s="128"/>
      <c r="E34" s="128"/>
      <c r="F34" s="129"/>
      <c r="G34" s="129"/>
      <c r="H34" s="130"/>
      <c r="J34" s="74"/>
    </row>
    <row r="35" spans="1:10" s="73" customFormat="1" x14ac:dyDescent="0.3">
      <c r="A35" s="131">
        <v>3</v>
      </c>
      <c r="B35" s="132" t="s">
        <v>330</v>
      </c>
      <c r="C35" s="128"/>
      <c r="D35" s="128"/>
      <c r="E35" s="128"/>
      <c r="F35" s="129"/>
      <c r="G35" s="129"/>
      <c r="H35" s="130"/>
      <c r="J35" s="74"/>
    </row>
    <row r="36" spans="1:10" s="73" customFormat="1" x14ac:dyDescent="0.3">
      <c r="A36" s="131">
        <v>4</v>
      </c>
      <c r="B36" s="132" t="s">
        <v>331</v>
      </c>
      <c r="C36" s="128"/>
      <c r="D36" s="128"/>
      <c r="E36" s="128"/>
      <c r="F36" s="129"/>
      <c r="G36" s="129"/>
      <c r="H36" s="130"/>
      <c r="J36" s="74"/>
    </row>
    <row r="37" spans="1:10" s="73" customFormat="1" x14ac:dyDescent="0.3">
      <c r="A37" s="131">
        <v>5</v>
      </c>
      <c r="B37" s="132" t="s">
        <v>332</v>
      </c>
      <c r="C37" s="128"/>
      <c r="D37" s="128"/>
      <c r="E37" s="128"/>
      <c r="F37" s="129"/>
      <c r="G37" s="129"/>
      <c r="H37" s="130"/>
      <c r="J37" s="74"/>
    </row>
    <row r="38" spans="1:10" s="73" customFormat="1" x14ac:dyDescent="0.3">
      <c r="A38" s="131">
        <v>6</v>
      </c>
      <c r="B38" s="132" t="s">
        <v>333</v>
      </c>
      <c r="F38" s="74"/>
      <c r="G38" s="74"/>
      <c r="H38" s="126"/>
      <c r="J38" s="74"/>
    </row>
    <row r="39" spans="1:10" s="73" customFormat="1" x14ac:dyDescent="0.3">
      <c r="A39" s="131"/>
      <c r="B39" s="132"/>
      <c r="F39" s="74"/>
      <c r="G39" s="74"/>
      <c r="H39" s="126"/>
      <c r="J39" s="74"/>
    </row>
    <row r="40" spans="1:10" s="73" customFormat="1" ht="17.25" customHeight="1" x14ac:dyDescent="0.3">
      <c r="A40" s="216"/>
      <c r="B40" s="217"/>
      <c r="C40" s="217"/>
      <c r="D40" s="217"/>
      <c r="E40" s="217"/>
      <c r="F40" s="217"/>
      <c r="G40" s="217"/>
      <c r="H40" s="218"/>
      <c r="J40" s="74"/>
    </row>
    <row r="41" spans="1:10" s="100" customFormat="1" ht="17.25" customHeight="1" x14ac:dyDescent="0.3">
      <c r="A41" s="219" t="str">
        <f>E1</f>
        <v>Zerone Technologies Pvt Ltd</v>
      </c>
      <c r="B41" s="220"/>
      <c r="C41" s="220"/>
      <c r="D41" s="220"/>
      <c r="E41" s="220"/>
      <c r="F41" s="221" t="str">
        <f>B1</f>
        <v>DigiMRO Distribution (India) Pvt. Ltd.</v>
      </c>
      <c r="G41" s="222"/>
      <c r="H41" s="223"/>
      <c r="J41" s="101"/>
    </row>
    <row r="42" spans="1:10" s="100" customFormat="1" ht="14.4" customHeight="1" x14ac:dyDescent="0.3">
      <c r="A42" s="135" t="s">
        <v>334</v>
      </c>
      <c r="B42" s="134" t="s">
        <v>335</v>
      </c>
      <c r="C42" s="224" t="s">
        <v>336</v>
      </c>
      <c r="D42" s="225"/>
      <c r="E42" s="226"/>
      <c r="F42" s="221" t="s">
        <v>337</v>
      </c>
      <c r="G42" s="222"/>
      <c r="H42" s="223"/>
      <c r="J42" s="101"/>
    </row>
    <row r="43" spans="1:10" s="73" customFormat="1" ht="117.6" customHeight="1" thickBot="1" x14ac:dyDescent="0.35">
      <c r="A43" s="136"/>
      <c r="B43" s="137"/>
      <c r="C43" s="204"/>
      <c r="D43" s="205"/>
      <c r="E43" s="206"/>
      <c r="F43" s="204"/>
      <c r="G43" s="205"/>
      <c r="H43" s="215"/>
      <c r="J43" s="74"/>
    </row>
    <row r="44" spans="1:10" s="73" customFormat="1" x14ac:dyDescent="0.3">
      <c r="F44" s="74"/>
      <c r="G44" s="74"/>
      <c r="H44" s="74"/>
      <c r="J44" s="74"/>
    </row>
    <row r="45" spans="1:10" s="73" customFormat="1" x14ac:dyDescent="0.3">
      <c r="F45" s="74"/>
      <c r="G45" s="74"/>
      <c r="H45" s="74"/>
      <c r="J45" s="74"/>
    </row>
    <row r="46" spans="1:10" s="73" customFormat="1" x14ac:dyDescent="0.3">
      <c r="F46" s="74"/>
      <c r="G46" s="74"/>
      <c r="H46" s="74"/>
      <c r="J46" s="74"/>
    </row>
    <row r="47" spans="1:10" s="73" customFormat="1" x14ac:dyDescent="0.3">
      <c r="F47" s="74"/>
      <c r="G47" s="74"/>
      <c r="H47" s="74"/>
      <c r="J47" s="74"/>
    </row>
    <row r="48" spans="1:10" s="73" customFormat="1" x14ac:dyDescent="0.3">
      <c r="F48" s="74"/>
      <c r="G48" s="74"/>
      <c r="H48" s="74"/>
      <c r="J48" s="74"/>
    </row>
    <row r="49" spans="6:10" s="73" customFormat="1" x14ac:dyDescent="0.3">
      <c r="F49" s="74"/>
      <c r="G49" s="74"/>
      <c r="H49" s="74"/>
      <c r="J49" s="74"/>
    </row>
    <row r="50" spans="6:10" s="73" customFormat="1" x14ac:dyDescent="0.3">
      <c r="F50" s="74"/>
      <c r="G50" s="74"/>
      <c r="H50" s="74"/>
      <c r="J50" s="74"/>
    </row>
    <row r="51" spans="6:10" s="73" customFormat="1" x14ac:dyDescent="0.3">
      <c r="F51" s="74"/>
      <c r="G51" s="74"/>
      <c r="H51" s="74"/>
      <c r="J51" s="74"/>
    </row>
    <row r="52" spans="6:10" s="73" customFormat="1" x14ac:dyDescent="0.3">
      <c r="F52" s="74"/>
      <c r="G52" s="74"/>
      <c r="H52" s="74"/>
      <c r="J52" s="74"/>
    </row>
    <row r="53" spans="6:10" s="73" customFormat="1" x14ac:dyDescent="0.3">
      <c r="F53" s="74"/>
      <c r="G53" s="74"/>
      <c r="H53" s="74"/>
      <c r="J53" s="74"/>
    </row>
    <row r="54" spans="6:10" s="73" customFormat="1" x14ac:dyDescent="0.3">
      <c r="F54" s="74"/>
      <c r="G54" s="74"/>
      <c r="H54" s="74"/>
      <c r="J54" s="74"/>
    </row>
    <row r="55" spans="6:10" s="73" customFormat="1" x14ac:dyDescent="0.3">
      <c r="F55" s="74"/>
      <c r="G55" s="74"/>
      <c r="H55" s="74"/>
      <c r="J55" s="74"/>
    </row>
    <row r="56" spans="6:10" s="73" customFormat="1" x14ac:dyDescent="0.3">
      <c r="F56" s="74"/>
      <c r="G56" s="74"/>
      <c r="H56" s="74"/>
      <c r="J56" s="74"/>
    </row>
    <row r="57" spans="6:10" s="73" customFormat="1" x14ac:dyDescent="0.3">
      <c r="F57" s="74"/>
      <c r="G57" s="74"/>
      <c r="H57" s="74"/>
      <c r="J57" s="74"/>
    </row>
    <row r="58" spans="6:10" s="73" customFormat="1" x14ac:dyDescent="0.3"/>
    <row r="59" spans="6:10" s="73" customFormat="1" x14ac:dyDescent="0.3">
      <c r="F59" s="74"/>
      <c r="G59" s="74"/>
      <c r="H59" s="74"/>
      <c r="J59" s="74"/>
    </row>
    <row r="60" spans="6:10" s="73" customFormat="1" x14ac:dyDescent="0.3">
      <c r="F60" s="74"/>
      <c r="G60" s="74"/>
      <c r="H60" s="74"/>
      <c r="J60" s="74"/>
    </row>
    <row r="61" spans="6:10" s="73" customFormat="1" x14ac:dyDescent="0.3">
      <c r="F61" s="74"/>
      <c r="G61" s="74"/>
      <c r="H61" s="74"/>
      <c r="J61" s="74"/>
    </row>
    <row r="62" spans="6:10" s="73" customFormat="1" x14ac:dyDescent="0.3">
      <c r="F62" s="74"/>
      <c r="G62" s="74"/>
      <c r="H62" s="74"/>
      <c r="J62" s="74"/>
    </row>
    <row r="63" spans="6:10" s="73" customFormat="1" x14ac:dyDescent="0.3">
      <c r="F63" s="74"/>
      <c r="G63" s="74"/>
      <c r="H63" s="74"/>
      <c r="J63" s="74"/>
    </row>
    <row r="64" spans="6:10" s="73" customFormat="1" x14ac:dyDescent="0.3">
      <c r="F64" s="74"/>
      <c r="G64" s="74"/>
      <c r="H64" s="74"/>
      <c r="J64" s="74"/>
    </row>
    <row r="65" spans="6:10" s="73" customFormat="1" x14ac:dyDescent="0.3">
      <c r="F65" s="74"/>
      <c r="G65" s="74"/>
      <c r="H65" s="74"/>
      <c r="J65" s="74"/>
    </row>
    <row r="66" spans="6:10" s="73" customFormat="1" x14ac:dyDescent="0.3">
      <c r="F66" s="74"/>
      <c r="G66" s="74"/>
      <c r="H66" s="74"/>
      <c r="J66" s="74"/>
    </row>
    <row r="67" spans="6:10" s="73" customFormat="1" x14ac:dyDescent="0.3">
      <c r="F67" s="74"/>
      <c r="G67" s="74"/>
      <c r="H67" s="74"/>
      <c r="J67" s="74"/>
    </row>
    <row r="68" spans="6:10" s="73" customFormat="1" x14ac:dyDescent="0.3">
      <c r="F68" s="74"/>
      <c r="G68" s="74"/>
      <c r="H68" s="74"/>
      <c r="J68" s="74"/>
    </row>
    <row r="69" spans="6:10" s="73" customFormat="1" x14ac:dyDescent="0.3">
      <c r="F69" s="74"/>
      <c r="G69" s="74"/>
      <c r="H69" s="74"/>
      <c r="J69" s="74"/>
    </row>
    <row r="70" spans="6:10" s="73" customFormat="1" x14ac:dyDescent="0.3">
      <c r="F70" s="74"/>
      <c r="G70" s="74"/>
      <c r="H70" s="74"/>
      <c r="J70" s="74"/>
    </row>
    <row r="71" spans="6:10" s="73" customFormat="1" x14ac:dyDescent="0.3">
      <c r="F71" s="74"/>
      <c r="G71" s="74"/>
      <c r="H71" s="74"/>
      <c r="J71" s="74"/>
    </row>
    <row r="72" spans="6:10" s="73" customFormat="1" x14ac:dyDescent="0.3">
      <c r="F72" s="74"/>
      <c r="G72" s="74"/>
      <c r="H72" s="74"/>
      <c r="J72" s="74"/>
    </row>
    <row r="73" spans="6:10" s="73" customFormat="1" x14ac:dyDescent="0.3">
      <c r="F73" s="74"/>
      <c r="G73" s="74"/>
      <c r="H73" s="74"/>
      <c r="J73" s="74"/>
    </row>
    <row r="74" spans="6:10" s="73" customFormat="1" x14ac:dyDescent="0.3">
      <c r="F74" s="74"/>
      <c r="G74" s="74"/>
      <c r="H74" s="74"/>
      <c r="J74" s="74"/>
    </row>
    <row r="75" spans="6:10" s="73" customFormat="1" x14ac:dyDescent="0.3">
      <c r="F75" s="74"/>
      <c r="G75" s="74"/>
      <c r="H75" s="74"/>
      <c r="J75" s="74"/>
    </row>
    <row r="76" spans="6:10" s="73" customFormat="1" x14ac:dyDescent="0.3">
      <c r="F76" s="74"/>
      <c r="G76" s="74"/>
      <c r="H76" s="74"/>
      <c r="J76" s="74"/>
    </row>
    <row r="77" spans="6:10" s="73" customFormat="1" x14ac:dyDescent="0.3">
      <c r="F77" s="74"/>
      <c r="G77" s="74"/>
      <c r="H77" s="74"/>
      <c r="J77" s="74"/>
    </row>
    <row r="78" spans="6:10" s="73" customFormat="1" x14ac:dyDescent="0.3">
      <c r="F78" s="74"/>
      <c r="G78" s="74"/>
      <c r="H78" s="74"/>
      <c r="J78" s="74"/>
    </row>
    <row r="79" spans="6:10" s="73" customFormat="1" x14ac:dyDescent="0.3">
      <c r="F79" s="74"/>
      <c r="G79" s="74"/>
      <c r="H79" s="74"/>
      <c r="J79" s="74"/>
    </row>
    <row r="80" spans="6:10" s="73" customFormat="1" x14ac:dyDescent="0.3">
      <c r="F80" s="74"/>
      <c r="G80" s="74"/>
      <c r="H80" s="74"/>
      <c r="J80" s="74"/>
    </row>
    <row r="81" spans="6:10" s="73" customFormat="1" x14ac:dyDescent="0.3">
      <c r="F81" s="74"/>
      <c r="G81" s="74"/>
      <c r="H81" s="74"/>
      <c r="J81" s="74"/>
    </row>
    <row r="82" spans="6:10" s="73" customFormat="1" x14ac:dyDescent="0.3">
      <c r="F82" s="74"/>
      <c r="G82" s="74"/>
      <c r="H82" s="74"/>
      <c r="J82" s="74"/>
    </row>
    <row r="83" spans="6:10" s="73" customFormat="1" x14ac:dyDescent="0.3">
      <c r="F83" s="74"/>
      <c r="G83" s="74"/>
      <c r="H83" s="74"/>
      <c r="J83" s="74"/>
    </row>
    <row r="84" spans="6:10" s="73" customFormat="1" x14ac:dyDescent="0.3">
      <c r="F84" s="74"/>
      <c r="G84" s="74"/>
      <c r="H84" s="74"/>
      <c r="J84" s="74"/>
    </row>
    <row r="85" spans="6:10" s="73" customFormat="1" x14ac:dyDescent="0.3">
      <c r="F85" s="74"/>
      <c r="G85" s="74"/>
      <c r="H85" s="74"/>
      <c r="J85" s="74"/>
    </row>
    <row r="86" spans="6:10" s="73" customFormat="1" x14ac:dyDescent="0.3">
      <c r="F86" s="74"/>
      <c r="G86" s="74"/>
      <c r="H86" s="74"/>
      <c r="J86" s="74"/>
    </row>
    <row r="87" spans="6:10" s="73" customFormat="1" x14ac:dyDescent="0.3">
      <c r="F87" s="74"/>
      <c r="G87" s="74"/>
      <c r="H87" s="74"/>
      <c r="J87" s="74"/>
    </row>
    <row r="88" spans="6:10" s="73" customFormat="1" x14ac:dyDescent="0.3">
      <c r="F88" s="74"/>
      <c r="G88" s="74"/>
      <c r="H88" s="74"/>
      <c r="J88" s="74"/>
    </row>
    <row r="89" spans="6:10" s="73" customFormat="1" x14ac:dyDescent="0.3">
      <c r="F89" s="74"/>
      <c r="G89" s="74"/>
      <c r="H89" s="74"/>
      <c r="J89" s="74"/>
    </row>
    <row r="90" spans="6:10" s="73" customFormat="1" x14ac:dyDescent="0.3">
      <c r="F90" s="74"/>
      <c r="G90" s="74"/>
      <c r="H90" s="74"/>
      <c r="J90" s="74"/>
    </row>
    <row r="91" spans="6:10" s="73" customFormat="1" x14ac:dyDescent="0.3">
      <c r="F91" s="74"/>
      <c r="G91" s="74"/>
      <c r="H91" s="74"/>
      <c r="J91" s="74"/>
    </row>
    <row r="92" spans="6:10" s="73" customFormat="1" x14ac:dyDescent="0.3">
      <c r="F92" s="74"/>
      <c r="G92" s="74"/>
      <c r="H92" s="74"/>
      <c r="J92" s="74"/>
    </row>
    <row r="93" spans="6:10" s="73" customFormat="1" x14ac:dyDescent="0.3">
      <c r="F93" s="74"/>
      <c r="G93" s="74"/>
      <c r="H93" s="74"/>
      <c r="J93" s="74"/>
    </row>
    <row r="94" spans="6:10" s="73" customFormat="1" x14ac:dyDescent="0.3">
      <c r="F94" s="74"/>
      <c r="G94" s="74"/>
      <c r="H94" s="74"/>
      <c r="J94" s="74"/>
    </row>
    <row r="95" spans="6:10" s="73" customFormat="1" x14ac:dyDescent="0.3">
      <c r="F95" s="74"/>
      <c r="G95" s="74"/>
      <c r="H95" s="74"/>
      <c r="J95" s="74"/>
    </row>
    <row r="96" spans="6:10" s="73" customFormat="1" x14ac:dyDescent="0.3">
      <c r="F96" s="74"/>
      <c r="G96" s="74"/>
      <c r="H96" s="74"/>
      <c r="J96" s="74"/>
    </row>
    <row r="97" spans="6:10" s="73" customFormat="1" x14ac:dyDescent="0.3">
      <c r="F97" s="74"/>
      <c r="G97" s="74"/>
      <c r="H97" s="74"/>
      <c r="J97" s="74"/>
    </row>
    <row r="98" spans="6:10" s="73" customFormat="1" x14ac:dyDescent="0.3">
      <c r="F98" s="74"/>
      <c r="G98" s="74"/>
      <c r="H98" s="74"/>
      <c r="J98" s="74"/>
    </row>
    <row r="99" spans="6:10" s="73" customFormat="1" x14ac:dyDescent="0.3">
      <c r="F99" s="74"/>
      <c r="G99" s="74"/>
      <c r="H99" s="74"/>
      <c r="J99" s="74"/>
    </row>
    <row r="100" spans="6:10" s="73" customFormat="1" x14ac:dyDescent="0.3">
      <c r="F100" s="74"/>
      <c r="G100" s="74"/>
      <c r="H100" s="74"/>
      <c r="J100" s="74"/>
    </row>
    <row r="101" spans="6:10" s="73" customFormat="1" x14ac:dyDescent="0.3">
      <c r="F101" s="74"/>
      <c r="G101" s="74"/>
      <c r="H101" s="74"/>
      <c r="J101" s="74"/>
    </row>
    <row r="102" spans="6:10" s="73" customFormat="1" x14ac:dyDescent="0.3">
      <c r="F102" s="74"/>
      <c r="G102" s="74"/>
      <c r="H102" s="74"/>
      <c r="J102" s="74"/>
    </row>
    <row r="103" spans="6:10" s="73" customFormat="1" x14ac:dyDescent="0.3">
      <c r="F103" s="74"/>
      <c r="G103" s="74"/>
      <c r="H103" s="74"/>
      <c r="J103" s="74"/>
    </row>
    <row r="104" spans="6:10" s="73" customFormat="1" x14ac:dyDescent="0.3">
      <c r="F104" s="74"/>
      <c r="G104" s="74"/>
      <c r="H104" s="74"/>
      <c r="J104" s="74"/>
    </row>
    <row r="105" spans="6:10" s="73" customFormat="1" x14ac:dyDescent="0.3">
      <c r="F105" s="74"/>
      <c r="G105" s="74"/>
      <c r="H105" s="74"/>
      <c r="J105" s="74"/>
    </row>
    <row r="106" spans="6:10" s="73" customFormat="1" x14ac:dyDescent="0.3">
      <c r="F106" s="74"/>
      <c r="G106" s="74"/>
      <c r="H106" s="74"/>
      <c r="J106" s="74"/>
    </row>
    <row r="107" spans="6:10" s="73" customFormat="1" x14ac:dyDescent="0.3">
      <c r="F107" s="74"/>
      <c r="G107" s="74"/>
      <c r="H107" s="74"/>
      <c r="J107" s="74"/>
    </row>
    <row r="108" spans="6:10" s="73" customFormat="1" x14ac:dyDescent="0.3">
      <c r="F108" s="74"/>
      <c r="G108" s="74"/>
      <c r="H108" s="74"/>
      <c r="J108" s="74"/>
    </row>
    <row r="109" spans="6:10" s="73" customFormat="1" x14ac:dyDescent="0.3">
      <c r="F109" s="74"/>
      <c r="G109" s="74"/>
      <c r="H109" s="74"/>
      <c r="J109" s="74"/>
    </row>
    <row r="110" spans="6:10" s="73" customFormat="1" x14ac:dyDescent="0.3">
      <c r="F110" s="74"/>
      <c r="G110" s="74"/>
      <c r="H110" s="74"/>
      <c r="J110" s="16"/>
    </row>
    <row r="111" spans="6:10" s="73" customFormat="1" x14ac:dyDescent="0.3">
      <c r="F111" s="74"/>
      <c r="G111" s="74"/>
      <c r="H111" s="74"/>
      <c r="J111" s="74"/>
    </row>
    <row r="112" spans="6:10" s="73" customFormat="1" x14ac:dyDescent="0.3">
      <c r="F112" s="74"/>
      <c r="G112" s="74"/>
      <c r="H112" s="74"/>
      <c r="J112" s="74"/>
    </row>
    <row r="113" spans="6:10" s="73" customFormat="1" x14ac:dyDescent="0.3">
      <c r="F113" s="74"/>
      <c r="G113" s="74"/>
      <c r="H113" s="74"/>
      <c r="J113" s="74"/>
    </row>
    <row r="114" spans="6:10" s="73" customFormat="1" x14ac:dyDescent="0.3">
      <c r="F114" s="74"/>
      <c r="G114" s="74"/>
      <c r="H114" s="74"/>
      <c r="J114" s="74"/>
    </row>
    <row r="115" spans="6:10" s="73" customFormat="1" x14ac:dyDescent="0.3">
      <c r="F115" s="74"/>
      <c r="G115" s="74"/>
      <c r="H115" s="74"/>
      <c r="J115" s="74"/>
    </row>
    <row r="116" spans="6:10" s="73" customFormat="1" x14ac:dyDescent="0.3">
      <c r="F116" s="74"/>
      <c r="G116" s="74"/>
      <c r="H116" s="74"/>
      <c r="J116" s="74"/>
    </row>
    <row r="117" spans="6:10" s="73" customFormat="1" x14ac:dyDescent="0.3">
      <c r="F117" s="74"/>
      <c r="G117" s="74"/>
      <c r="H117" s="74"/>
      <c r="J117" s="74"/>
    </row>
    <row r="118" spans="6:10" s="73" customFormat="1" x14ac:dyDescent="0.3">
      <c r="F118" s="74"/>
      <c r="G118" s="74"/>
      <c r="H118" s="74"/>
      <c r="J118" s="74"/>
    </row>
    <row r="119" spans="6:10" s="73" customFormat="1" x14ac:dyDescent="0.3">
      <c r="F119" s="74"/>
      <c r="G119" s="74"/>
      <c r="H119" s="74"/>
      <c r="J119" s="74"/>
    </row>
    <row r="120" spans="6:10" s="73" customFormat="1" x14ac:dyDescent="0.3">
      <c r="F120" s="74"/>
      <c r="G120" s="74"/>
      <c r="H120" s="74"/>
      <c r="J120" s="74"/>
    </row>
    <row r="122" spans="6:10" s="73" customFormat="1" ht="13.8" x14ac:dyDescent="0.3">
      <c r="F122" s="16"/>
      <c r="G122" s="16"/>
      <c r="H122" s="16"/>
      <c r="J122" s="101"/>
    </row>
    <row r="123" spans="6:10" s="73" customFormat="1" ht="13.8" x14ac:dyDescent="0.3">
      <c r="F123" s="16"/>
      <c r="G123" s="16"/>
      <c r="H123" s="16"/>
      <c r="J123" s="103" t="s">
        <v>353</v>
      </c>
    </row>
    <row r="124" spans="6:10" s="73" customFormat="1" x14ac:dyDescent="0.3">
      <c r="F124" s="16"/>
      <c r="G124" s="16"/>
      <c r="H124" s="16"/>
      <c r="J124" s="55">
        <v>6</v>
      </c>
    </row>
    <row r="125" spans="6:10" s="73" customFormat="1" x14ac:dyDescent="0.3">
      <c r="F125" s="16"/>
      <c r="G125" s="16"/>
      <c r="H125" s="16"/>
      <c r="J125" s="55">
        <f>_xlfn.XLOOKUP(B125, BOQ!$B$2:$B$1000, BOQ!$F$2:$F$1000, "Not found")</f>
        <v>0</v>
      </c>
    </row>
    <row r="126" spans="6:10" s="73" customFormat="1" x14ac:dyDescent="0.3">
      <c r="F126" s="16"/>
      <c r="G126" s="16"/>
      <c r="H126" s="16"/>
      <c r="J126" s="55">
        <f>_xlfn.XLOOKUP(B126, BOQ!$B$2:$B$1000, BOQ!$F$2:$F$1000, "Not found")</f>
        <v>0</v>
      </c>
    </row>
  </sheetData>
  <sheetProtection insertRows="0" selectLockedCells="1"/>
  <mergeCells count="36">
    <mergeCell ref="A41:E41"/>
    <mergeCell ref="F41:H41"/>
    <mergeCell ref="C42:E42"/>
    <mergeCell ref="F42:H42"/>
    <mergeCell ref="C43:E43"/>
    <mergeCell ref="F43:H43"/>
    <mergeCell ref="A40:H40"/>
    <mergeCell ref="B10:C10"/>
    <mergeCell ref="E10:H10"/>
    <mergeCell ref="B11:C11"/>
    <mergeCell ref="E11:H11"/>
    <mergeCell ref="A13:H13"/>
    <mergeCell ref="A15:H15"/>
    <mergeCell ref="E25:F25"/>
    <mergeCell ref="E26:F26"/>
    <mergeCell ref="E27:F28"/>
    <mergeCell ref="B29:F29"/>
    <mergeCell ref="A31:H31"/>
    <mergeCell ref="B7:C7"/>
    <mergeCell ref="E7:H7"/>
    <mergeCell ref="B8:C8"/>
    <mergeCell ref="E8:H8"/>
    <mergeCell ref="B9:C9"/>
    <mergeCell ref="E9:H9"/>
    <mergeCell ref="B4:C4"/>
    <mergeCell ref="E4:H4"/>
    <mergeCell ref="B5:C5"/>
    <mergeCell ref="E5:H5"/>
    <mergeCell ref="B6:C6"/>
    <mergeCell ref="E6:H6"/>
    <mergeCell ref="B1:C1"/>
    <mergeCell ref="E1:H1"/>
    <mergeCell ref="B2:C2"/>
    <mergeCell ref="E2:H2"/>
    <mergeCell ref="B3:C3"/>
    <mergeCell ref="E3:H3"/>
  </mergeCells>
  <conditionalFormatting sqref="J124:J126 C17:E23 J17:J23">
    <cfRule type="cellIs" dxfId="25" priority="1" operator="equal">
      <formula>0</formula>
    </cfRule>
  </conditionalFormatting>
  <pageMargins left="0.70866141732283472" right="0.70866141732283472" top="0.74803149606299213" bottom="0.74803149606299213" header="0.31496062992125984" footer="0.31496062992125984"/>
  <pageSetup scale="55" orientation="portrait" r:id="rId1"/>
  <headerFooter>
    <oddHeader>&amp;R&amp;G</oddHeader>
  </headerFooter>
  <legacyDrawingHF r:id="rId2"/>
  <tableParts count="1">
    <tablePart r:id="rId3"/>
  </tableParts>
  <extLst>
    <ext xmlns:x14="http://schemas.microsoft.com/office/spreadsheetml/2009/9/main" uri="{CCE6A557-97BC-4b89-ADB6-D9C93CAAB3DF}">
      <x14:dataValidations xmlns:xm="http://schemas.microsoft.com/office/excel/2006/main" count="2">
        <x14:dataValidation type="custom" allowBlank="1" showInputMessage="1" showErrorMessage="1" error="Qty Exceeds BOQ" xr:uid="{F1828360-8842-4DF8-A9DD-AD93C6C9D230}">
          <x14:formula1>
            <xm:f>F17&lt;=_xlfn.XLOOKUP(B17, BOQ!$B$2:$B$1000, BOQ!$F$2:$F$1000)</xm:f>
          </x14:formula1>
          <xm:sqref>F17:F23</xm:sqref>
        </x14:dataValidation>
        <x14:dataValidation type="list" allowBlank="1" showInputMessage="1" showErrorMessage="1" xr:uid="{0910080C-3876-4723-BBF1-A040FC162B1C}">
          <x14:formula1>
            <xm:f>BOQ!$B$2:$B$1000</xm:f>
          </x14:formula1>
          <xm:sqref>B17:B23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70A96-28F2-4FF9-8FDA-377D53A23DBB}">
  <dimension ref="A1:Y126"/>
  <sheetViews>
    <sheetView zoomScale="61" zoomScaleNormal="115" workbookViewId="0">
      <selection activeCell="A22" activeCellId="1" sqref="A19:XFD19 A22:XFD22"/>
    </sheetView>
  </sheetViews>
  <sheetFormatPr defaultRowHeight="12" x14ac:dyDescent="0.3"/>
  <cols>
    <col min="1" max="1" width="11.88671875" style="15" customWidth="1"/>
    <col min="2" max="2" width="69.21875" style="15" customWidth="1"/>
    <col min="3" max="4" width="16.44140625" style="15" customWidth="1"/>
    <col min="5" max="5" width="8.44140625" style="15" customWidth="1"/>
    <col min="6" max="6" width="9.33203125" style="16" customWidth="1"/>
    <col min="7" max="7" width="16.109375" style="16" customWidth="1"/>
    <col min="8" max="8" width="18.33203125" style="16" customWidth="1"/>
    <col min="9" max="9" width="9.5546875" style="73" customWidth="1"/>
    <col min="10" max="10" width="27.77734375" style="74" customWidth="1"/>
    <col min="11" max="11" width="14.44140625" style="73" bestFit="1" customWidth="1"/>
    <col min="12" max="25" width="8.88671875" style="73"/>
    <col min="26" max="254" width="8.88671875" style="15"/>
    <col min="255" max="255" width="1.5546875" style="15" customWidth="1"/>
    <col min="256" max="257" width="9.33203125" style="15" customWidth="1"/>
    <col min="258" max="258" width="13.44140625" style="15" customWidth="1"/>
    <col min="259" max="259" width="32.5546875" style="15" customWidth="1"/>
    <col min="260" max="260" width="21.33203125" style="15" customWidth="1"/>
    <col min="261" max="261" width="12.33203125" style="15" customWidth="1"/>
    <col min="262" max="262" width="11.109375" style="15" customWidth="1"/>
    <col min="263" max="263" width="16.109375" style="15" customWidth="1"/>
    <col min="264" max="264" width="18.33203125" style="15" customWidth="1"/>
    <col min="265" max="265" width="10.88671875" style="15" bestFit="1" customWidth="1"/>
    <col min="266" max="266" width="14.33203125" style="15" customWidth="1"/>
    <col min="267" max="267" width="14.44140625" style="15" bestFit="1" customWidth="1"/>
    <col min="268" max="510" width="8.88671875" style="15"/>
    <col min="511" max="511" width="1.5546875" style="15" customWidth="1"/>
    <col min="512" max="513" width="9.33203125" style="15" customWidth="1"/>
    <col min="514" max="514" width="13.44140625" style="15" customWidth="1"/>
    <col min="515" max="515" width="32.5546875" style="15" customWidth="1"/>
    <col min="516" max="516" width="21.33203125" style="15" customWidth="1"/>
    <col min="517" max="517" width="12.33203125" style="15" customWidth="1"/>
    <col min="518" max="518" width="11.109375" style="15" customWidth="1"/>
    <col min="519" max="519" width="16.109375" style="15" customWidth="1"/>
    <col min="520" max="520" width="18.33203125" style="15" customWidth="1"/>
    <col min="521" max="521" width="10.88671875" style="15" bestFit="1" customWidth="1"/>
    <col min="522" max="522" width="14.33203125" style="15" customWidth="1"/>
    <col min="523" max="523" width="14.44140625" style="15" bestFit="1" customWidth="1"/>
    <col min="524" max="766" width="8.88671875" style="15"/>
    <col min="767" max="767" width="1.5546875" style="15" customWidth="1"/>
    <col min="768" max="769" width="9.33203125" style="15" customWidth="1"/>
    <col min="770" max="770" width="13.44140625" style="15" customWidth="1"/>
    <col min="771" max="771" width="32.5546875" style="15" customWidth="1"/>
    <col min="772" max="772" width="21.33203125" style="15" customWidth="1"/>
    <col min="773" max="773" width="12.33203125" style="15" customWidth="1"/>
    <col min="774" max="774" width="11.109375" style="15" customWidth="1"/>
    <col min="775" max="775" width="16.109375" style="15" customWidth="1"/>
    <col min="776" max="776" width="18.33203125" style="15" customWidth="1"/>
    <col min="777" max="777" width="10.88671875" style="15" bestFit="1" customWidth="1"/>
    <col min="778" max="778" width="14.33203125" style="15" customWidth="1"/>
    <col min="779" max="779" width="14.44140625" style="15" bestFit="1" customWidth="1"/>
    <col min="780" max="1022" width="8.88671875" style="15"/>
    <col min="1023" max="1023" width="1.5546875" style="15" customWidth="1"/>
    <col min="1024" max="1025" width="9.33203125" style="15" customWidth="1"/>
    <col min="1026" max="1026" width="13.44140625" style="15" customWidth="1"/>
    <col min="1027" max="1027" width="32.5546875" style="15" customWidth="1"/>
    <col min="1028" max="1028" width="21.33203125" style="15" customWidth="1"/>
    <col min="1029" max="1029" width="12.33203125" style="15" customWidth="1"/>
    <col min="1030" max="1030" width="11.109375" style="15" customWidth="1"/>
    <col min="1031" max="1031" width="16.109375" style="15" customWidth="1"/>
    <col min="1032" max="1032" width="18.33203125" style="15" customWidth="1"/>
    <col min="1033" max="1033" width="10.88671875" style="15" bestFit="1" customWidth="1"/>
    <col min="1034" max="1034" width="14.33203125" style="15" customWidth="1"/>
    <col min="1035" max="1035" width="14.44140625" style="15" bestFit="1" customWidth="1"/>
    <col min="1036" max="1278" width="8.88671875" style="15"/>
    <col min="1279" max="1279" width="1.5546875" style="15" customWidth="1"/>
    <col min="1280" max="1281" width="9.33203125" style="15" customWidth="1"/>
    <col min="1282" max="1282" width="13.44140625" style="15" customWidth="1"/>
    <col min="1283" max="1283" width="32.5546875" style="15" customWidth="1"/>
    <col min="1284" max="1284" width="21.33203125" style="15" customWidth="1"/>
    <col min="1285" max="1285" width="12.33203125" style="15" customWidth="1"/>
    <col min="1286" max="1286" width="11.109375" style="15" customWidth="1"/>
    <col min="1287" max="1287" width="16.109375" style="15" customWidth="1"/>
    <col min="1288" max="1288" width="18.33203125" style="15" customWidth="1"/>
    <col min="1289" max="1289" width="10.88671875" style="15" bestFit="1" customWidth="1"/>
    <col min="1290" max="1290" width="14.33203125" style="15" customWidth="1"/>
    <col min="1291" max="1291" width="14.44140625" style="15" bestFit="1" customWidth="1"/>
    <col min="1292" max="1534" width="8.88671875" style="15"/>
    <col min="1535" max="1535" width="1.5546875" style="15" customWidth="1"/>
    <col min="1536" max="1537" width="9.33203125" style="15" customWidth="1"/>
    <col min="1538" max="1538" width="13.44140625" style="15" customWidth="1"/>
    <col min="1539" max="1539" width="32.5546875" style="15" customWidth="1"/>
    <col min="1540" max="1540" width="21.33203125" style="15" customWidth="1"/>
    <col min="1541" max="1541" width="12.33203125" style="15" customWidth="1"/>
    <col min="1542" max="1542" width="11.109375" style="15" customWidth="1"/>
    <col min="1543" max="1543" width="16.109375" style="15" customWidth="1"/>
    <col min="1544" max="1544" width="18.33203125" style="15" customWidth="1"/>
    <col min="1545" max="1545" width="10.88671875" style="15" bestFit="1" customWidth="1"/>
    <col min="1546" max="1546" width="14.33203125" style="15" customWidth="1"/>
    <col min="1547" max="1547" width="14.44140625" style="15" bestFit="1" customWidth="1"/>
    <col min="1548" max="1790" width="8.88671875" style="15"/>
    <col min="1791" max="1791" width="1.5546875" style="15" customWidth="1"/>
    <col min="1792" max="1793" width="9.33203125" style="15" customWidth="1"/>
    <col min="1794" max="1794" width="13.44140625" style="15" customWidth="1"/>
    <col min="1795" max="1795" width="32.5546875" style="15" customWidth="1"/>
    <col min="1796" max="1796" width="21.33203125" style="15" customWidth="1"/>
    <col min="1797" max="1797" width="12.33203125" style="15" customWidth="1"/>
    <col min="1798" max="1798" width="11.109375" style="15" customWidth="1"/>
    <col min="1799" max="1799" width="16.109375" style="15" customWidth="1"/>
    <col min="1800" max="1800" width="18.33203125" style="15" customWidth="1"/>
    <col min="1801" max="1801" width="10.88671875" style="15" bestFit="1" customWidth="1"/>
    <col min="1802" max="1802" width="14.33203125" style="15" customWidth="1"/>
    <col min="1803" max="1803" width="14.44140625" style="15" bestFit="1" customWidth="1"/>
    <col min="1804" max="2046" width="8.88671875" style="15"/>
    <col min="2047" max="2047" width="1.5546875" style="15" customWidth="1"/>
    <col min="2048" max="2049" width="9.33203125" style="15" customWidth="1"/>
    <col min="2050" max="2050" width="13.44140625" style="15" customWidth="1"/>
    <col min="2051" max="2051" width="32.5546875" style="15" customWidth="1"/>
    <col min="2052" max="2052" width="21.33203125" style="15" customWidth="1"/>
    <col min="2053" max="2053" width="12.33203125" style="15" customWidth="1"/>
    <col min="2054" max="2054" width="11.109375" style="15" customWidth="1"/>
    <col min="2055" max="2055" width="16.109375" style="15" customWidth="1"/>
    <col min="2056" max="2056" width="18.33203125" style="15" customWidth="1"/>
    <col min="2057" max="2057" width="10.88671875" style="15" bestFit="1" customWidth="1"/>
    <col min="2058" max="2058" width="14.33203125" style="15" customWidth="1"/>
    <col min="2059" max="2059" width="14.44140625" style="15" bestFit="1" customWidth="1"/>
    <col min="2060" max="2302" width="8.88671875" style="15"/>
    <col min="2303" max="2303" width="1.5546875" style="15" customWidth="1"/>
    <col min="2304" max="2305" width="9.33203125" style="15" customWidth="1"/>
    <col min="2306" max="2306" width="13.44140625" style="15" customWidth="1"/>
    <col min="2307" max="2307" width="32.5546875" style="15" customWidth="1"/>
    <col min="2308" max="2308" width="21.33203125" style="15" customWidth="1"/>
    <col min="2309" max="2309" width="12.33203125" style="15" customWidth="1"/>
    <col min="2310" max="2310" width="11.109375" style="15" customWidth="1"/>
    <col min="2311" max="2311" width="16.109375" style="15" customWidth="1"/>
    <col min="2312" max="2312" width="18.33203125" style="15" customWidth="1"/>
    <col min="2313" max="2313" width="10.88671875" style="15" bestFit="1" customWidth="1"/>
    <col min="2314" max="2314" width="14.33203125" style="15" customWidth="1"/>
    <col min="2315" max="2315" width="14.44140625" style="15" bestFit="1" customWidth="1"/>
    <col min="2316" max="2558" width="8.88671875" style="15"/>
    <col min="2559" max="2559" width="1.5546875" style="15" customWidth="1"/>
    <col min="2560" max="2561" width="9.33203125" style="15" customWidth="1"/>
    <col min="2562" max="2562" width="13.44140625" style="15" customWidth="1"/>
    <col min="2563" max="2563" width="32.5546875" style="15" customWidth="1"/>
    <col min="2564" max="2564" width="21.33203125" style="15" customWidth="1"/>
    <col min="2565" max="2565" width="12.33203125" style="15" customWidth="1"/>
    <col min="2566" max="2566" width="11.109375" style="15" customWidth="1"/>
    <col min="2567" max="2567" width="16.109375" style="15" customWidth="1"/>
    <col min="2568" max="2568" width="18.33203125" style="15" customWidth="1"/>
    <col min="2569" max="2569" width="10.88671875" style="15" bestFit="1" customWidth="1"/>
    <col min="2570" max="2570" width="14.33203125" style="15" customWidth="1"/>
    <col min="2571" max="2571" width="14.44140625" style="15" bestFit="1" customWidth="1"/>
    <col min="2572" max="2814" width="8.88671875" style="15"/>
    <col min="2815" max="2815" width="1.5546875" style="15" customWidth="1"/>
    <col min="2816" max="2817" width="9.33203125" style="15" customWidth="1"/>
    <col min="2818" max="2818" width="13.44140625" style="15" customWidth="1"/>
    <col min="2819" max="2819" width="32.5546875" style="15" customWidth="1"/>
    <col min="2820" max="2820" width="21.33203125" style="15" customWidth="1"/>
    <col min="2821" max="2821" width="12.33203125" style="15" customWidth="1"/>
    <col min="2822" max="2822" width="11.109375" style="15" customWidth="1"/>
    <col min="2823" max="2823" width="16.109375" style="15" customWidth="1"/>
    <col min="2824" max="2824" width="18.33203125" style="15" customWidth="1"/>
    <col min="2825" max="2825" width="10.88671875" style="15" bestFit="1" customWidth="1"/>
    <col min="2826" max="2826" width="14.33203125" style="15" customWidth="1"/>
    <col min="2827" max="2827" width="14.44140625" style="15" bestFit="1" customWidth="1"/>
    <col min="2828" max="3070" width="8.88671875" style="15"/>
    <col min="3071" max="3071" width="1.5546875" style="15" customWidth="1"/>
    <col min="3072" max="3073" width="9.33203125" style="15" customWidth="1"/>
    <col min="3074" max="3074" width="13.44140625" style="15" customWidth="1"/>
    <col min="3075" max="3075" width="32.5546875" style="15" customWidth="1"/>
    <col min="3076" max="3076" width="21.33203125" style="15" customWidth="1"/>
    <col min="3077" max="3077" width="12.33203125" style="15" customWidth="1"/>
    <col min="3078" max="3078" width="11.109375" style="15" customWidth="1"/>
    <col min="3079" max="3079" width="16.109375" style="15" customWidth="1"/>
    <col min="3080" max="3080" width="18.33203125" style="15" customWidth="1"/>
    <col min="3081" max="3081" width="10.88671875" style="15" bestFit="1" customWidth="1"/>
    <col min="3082" max="3082" width="14.33203125" style="15" customWidth="1"/>
    <col min="3083" max="3083" width="14.44140625" style="15" bestFit="1" customWidth="1"/>
    <col min="3084" max="3326" width="8.88671875" style="15"/>
    <col min="3327" max="3327" width="1.5546875" style="15" customWidth="1"/>
    <col min="3328" max="3329" width="9.33203125" style="15" customWidth="1"/>
    <col min="3330" max="3330" width="13.44140625" style="15" customWidth="1"/>
    <col min="3331" max="3331" width="32.5546875" style="15" customWidth="1"/>
    <col min="3332" max="3332" width="21.33203125" style="15" customWidth="1"/>
    <col min="3333" max="3333" width="12.33203125" style="15" customWidth="1"/>
    <col min="3334" max="3334" width="11.109375" style="15" customWidth="1"/>
    <col min="3335" max="3335" width="16.109375" style="15" customWidth="1"/>
    <col min="3336" max="3336" width="18.33203125" style="15" customWidth="1"/>
    <col min="3337" max="3337" width="10.88671875" style="15" bestFit="1" customWidth="1"/>
    <col min="3338" max="3338" width="14.33203125" style="15" customWidth="1"/>
    <col min="3339" max="3339" width="14.44140625" style="15" bestFit="1" customWidth="1"/>
    <col min="3340" max="3582" width="8.88671875" style="15"/>
    <col min="3583" max="3583" width="1.5546875" style="15" customWidth="1"/>
    <col min="3584" max="3585" width="9.33203125" style="15" customWidth="1"/>
    <col min="3586" max="3586" width="13.44140625" style="15" customWidth="1"/>
    <col min="3587" max="3587" width="32.5546875" style="15" customWidth="1"/>
    <col min="3588" max="3588" width="21.33203125" style="15" customWidth="1"/>
    <col min="3589" max="3589" width="12.33203125" style="15" customWidth="1"/>
    <col min="3590" max="3590" width="11.109375" style="15" customWidth="1"/>
    <col min="3591" max="3591" width="16.109375" style="15" customWidth="1"/>
    <col min="3592" max="3592" width="18.33203125" style="15" customWidth="1"/>
    <col min="3593" max="3593" width="10.88671875" style="15" bestFit="1" customWidth="1"/>
    <col min="3594" max="3594" width="14.33203125" style="15" customWidth="1"/>
    <col min="3595" max="3595" width="14.44140625" style="15" bestFit="1" customWidth="1"/>
    <col min="3596" max="3838" width="8.88671875" style="15"/>
    <col min="3839" max="3839" width="1.5546875" style="15" customWidth="1"/>
    <col min="3840" max="3841" width="9.33203125" style="15" customWidth="1"/>
    <col min="3842" max="3842" width="13.44140625" style="15" customWidth="1"/>
    <col min="3843" max="3843" width="32.5546875" style="15" customWidth="1"/>
    <col min="3844" max="3844" width="21.33203125" style="15" customWidth="1"/>
    <col min="3845" max="3845" width="12.33203125" style="15" customWidth="1"/>
    <col min="3846" max="3846" width="11.109375" style="15" customWidth="1"/>
    <col min="3847" max="3847" width="16.109375" style="15" customWidth="1"/>
    <col min="3848" max="3848" width="18.33203125" style="15" customWidth="1"/>
    <col min="3849" max="3849" width="10.88671875" style="15" bestFit="1" customWidth="1"/>
    <col min="3850" max="3850" width="14.33203125" style="15" customWidth="1"/>
    <col min="3851" max="3851" width="14.44140625" style="15" bestFit="1" customWidth="1"/>
    <col min="3852" max="4094" width="8.88671875" style="15"/>
    <col min="4095" max="4095" width="1.5546875" style="15" customWidth="1"/>
    <col min="4096" max="4097" width="9.33203125" style="15" customWidth="1"/>
    <col min="4098" max="4098" width="13.44140625" style="15" customWidth="1"/>
    <col min="4099" max="4099" width="32.5546875" style="15" customWidth="1"/>
    <col min="4100" max="4100" width="21.33203125" style="15" customWidth="1"/>
    <col min="4101" max="4101" width="12.33203125" style="15" customWidth="1"/>
    <col min="4102" max="4102" width="11.109375" style="15" customWidth="1"/>
    <col min="4103" max="4103" width="16.109375" style="15" customWidth="1"/>
    <col min="4104" max="4104" width="18.33203125" style="15" customWidth="1"/>
    <col min="4105" max="4105" width="10.88671875" style="15" bestFit="1" customWidth="1"/>
    <col min="4106" max="4106" width="14.33203125" style="15" customWidth="1"/>
    <col min="4107" max="4107" width="14.44140625" style="15" bestFit="1" customWidth="1"/>
    <col min="4108" max="4350" width="8.88671875" style="15"/>
    <col min="4351" max="4351" width="1.5546875" style="15" customWidth="1"/>
    <col min="4352" max="4353" width="9.33203125" style="15" customWidth="1"/>
    <col min="4354" max="4354" width="13.44140625" style="15" customWidth="1"/>
    <col min="4355" max="4355" width="32.5546875" style="15" customWidth="1"/>
    <col min="4356" max="4356" width="21.33203125" style="15" customWidth="1"/>
    <col min="4357" max="4357" width="12.33203125" style="15" customWidth="1"/>
    <col min="4358" max="4358" width="11.109375" style="15" customWidth="1"/>
    <col min="4359" max="4359" width="16.109375" style="15" customWidth="1"/>
    <col min="4360" max="4360" width="18.33203125" style="15" customWidth="1"/>
    <col min="4361" max="4361" width="10.88671875" style="15" bestFit="1" customWidth="1"/>
    <col min="4362" max="4362" width="14.33203125" style="15" customWidth="1"/>
    <col min="4363" max="4363" width="14.44140625" style="15" bestFit="1" customWidth="1"/>
    <col min="4364" max="4606" width="8.88671875" style="15"/>
    <col min="4607" max="4607" width="1.5546875" style="15" customWidth="1"/>
    <col min="4608" max="4609" width="9.33203125" style="15" customWidth="1"/>
    <col min="4610" max="4610" width="13.44140625" style="15" customWidth="1"/>
    <col min="4611" max="4611" width="32.5546875" style="15" customWidth="1"/>
    <col min="4612" max="4612" width="21.33203125" style="15" customWidth="1"/>
    <col min="4613" max="4613" width="12.33203125" style="15" customWidth="1"/>
    <col min="4614" max="4614" width="11.109375" style="15" customWidth="1"/>
    <col min="4615" max="4615" width="16.109375" style="15" customWidth="1"/>
    <col min="4616" max="4616" width="18.33203125" style="15" customWidth="1"/>
    <col min="4617" max="4617" width="10.88671875" style="15" bestFit="1" customWidth="1"/>
    <col min="4618" max="4618" width="14.33203125" style="15" customWidth="1"/>
    <col min="4619" max="4619" width="14.44140625" style="15" bestFit="1" customWidth="1"/>
    <col min="4620" max="4862" width="8.88671875" style="15"/>
    <col min="4863" max="4863" width="1.5546875" style="15" customWidth="1"/>
    <col min="4864" max="4865" width="9.33203125" style="15" customWidth="1"/>
    <col min="4866" max="4866" width="13.44140625" style="15" customWidth="1"/>
    <col min="4867" max="4867" width="32.5546875" style="15" customWidth="1"/>
    <col min="4868" max="4868" width="21.33203125" style="15" customWidth="1"/>
    <col min="4869" max="4869" width="12.33203125" style="15" customWidth="1"/>
    <col min="4870" max="4870" width="11.109375" style="15" customWidth="1"/>
    <col min="4871" max="4871" width="16.109375" style="15" customWidth="1"/>
    <col min="4872" max="4872" width="18.33203125" style="15" customWidth="1"/>
    <col min="4873" max="4873" width="10.88671875" style="15" bestFit="1" customWidth="1"/>
    <col min="4874" max="4874" width="14.33203125" style="15" customWidth="1"/>
    <col min="4875" max="4875" width="14.44140625" style="15" bestFit="1" customWidth="1"/>
    <col min="4876" max="5118" width="8.88671875" style="15"/>
    <col min="5119" max="5119" width="1.5546875" style="15" customWidth="1"/>
    <col min="5120" max="5121" width="9.33203125" style="15" customWidth="1"/>
    <col min="5122" max="5122" width="13.44140625" style="15" customWidth="1"/>
    <col min="5123" max="5123" width="32.5546875" style="15" customWidth="1"/>
    <col min="5124" max="5124" width="21.33203125" style="15" customWidth="1"/>
    <col min="5125" max="5125" width="12.33203125" style="15" customWidth="1"/>
    <col min="5126" max="5126" width="11.109375" style="15" customWidth="1"/>
    <col min="5127" max="5127" width="16.109375" style="15" customWidth="1"/>
    <col min="5128" max="5128" width="18.33203125" style="15" customWidth="1"/>
    <col min="5129" max="5129" width="10.88671875" style="15" bestFit="1" customWidth="1"/>
    <col min="5130" max="5130" width="14.33203125" style="15" customWidth="1"/>
    <col min="5131" max="5131" width="14.44140625" style="15" bestFit="1" customWidth="1"/>
    <col min="5132" max="5374" width="8.88671875" style="15"/>
    <col min="5375" max="5375" width="1.5546875" style="15" customWidth="1"/>
    <col min="5376" max="5377" width="9.33203125" style="15" customWidth="1"/>
    <col min="5378" max="5378" width="13.44140625" style="15" customWidth="1"/>
    <col min="5379" max="5379" width="32.5546875" style="15" customWidth="1"/>
    <col min="5380" max="5380" width="21.33203125" style="15" customWidth="1"/>
    <col min="5381" max="5381" width="12.33203125" style="15" customWidth="1"/>
    <col min="5382" max="5382" width="11.109375" style="15" customWidth="1"/>
    <col min="5383" max="5383" width="16.109375" style="15" customWidth="1"/>
    <col min="5384" max="5384" width="18.33203125" style="15" customWidth="1"/>
    <col min="5385" max="5385" width="10.88671875" style="15" bestFit="1" customWidth="1"/>
    <col min="5386" max="5386" width="14.33203125" style="15" customWidth="1"/>
    <col min="5387" max="5387" width="14.44140625" style="15" bestFit="1" customWidth="1"/>
    <col min="5388" max="5630" width="8.88671875" style="15"/>
    <col min="5631" max="5631" width="1.5546875" style="15" customWidth="1"/>
    <col min="5632" max="5633" width="9.33203125" style="15" customWidth="1"/>
    <col min="5634" max="5634" width="13.44140625" style="15" customWidth="1"/>
    <col min="5635" max="5635" width="32.5546875" style="15" customWidth="1"/>
    <col min="5636" max="5636" width="21.33203125" style="15" customWidth="1"/>
    <col min="5637" max="5637" width="12.33203125" style="15" customWidth="1"/>
    <col min="5638" max="5638" width="11.109375" style="15" customWidth="1"/>
    <col min="5639" max="5639" width="16.109375" style="15" customWidth="1"/>
    <col min="5640" max="5640" width="18.33203125" style="15" customWidth="1"/>
    <col min="5641" max="5641" width="10.88671875" style="15" bestFit="1" customWidth="1"/>
    <col min="5642" max="5642" width="14.33203125" style="15" customWidth="1"/>
    <col min="5643" max="5643" width="14.44140625" style="15" bestFit="1" customWidth="1"/>
    <col min="5644" max="5886" width="8.88671875" style="15"/>
    <col min="5887" max="5887" width="1.5546875" style="15" customWidth="1"/>
    <col min="5888" max="5889" width="9.33203125" style="15" customWidth="1"/>
    <col min="5890" max="5890" width="13.44140625" style="15" customWidth="1"/>
    <col min="5891" max="5891" width="32.5546875" style="15" customWidth="1"/>
    <col min="5892" max="5892" width="21.33203125" style="15" customWidth="1"/>
    <col min="5893" max="5893" width="12.33203125" style="15" customWidth="1"/>
    <col min="5894" max="5894" width="11.109375" style="15" customWidth="1"/>
    <col min="5895" max="5895" width="16.109375" style="15" customWidth="1"/>
    <col min="5896" max="5896" width="18.33203125" style="15" customWidth="1"/>
    <col min="5897" max="5897" width="10.88671875" style="15" bestFit="1" customWidth="1"/>
    <col min="5898" max="5898" width="14.33203125" style="15" customWidth="1"/>
    <col min="5899" max="5899" width="14.44140625" style="15" bestFit="1" customWidth="1"/>
    <col min="5900" max="6142" width="8.88671875" style="15"/>
    <col min="6143" max="6143" width="1.5546875" style="15" customWidth="1"/>
    <col min="6144" max="6145" width="9.33203125" style="15" customWidth="1"/>
    <col min="6146" max="6146" width="13.44140625" style="15" customWidth="1"/>
    <col min="6147" max="6147" width="32.5546875" style="15" customWidth="1"/>
    <col min="6148" max="6148" width="21.33203125" style="15" customWidth="1"/>
    <col min="6149" max="6149" width="12.33203125" style="15" customWidth="1"/>
    <col min="6150" max="6150" width="11.109375" style="15" customWidth="1"/>
    <col min="6151" max="6151" width="16.109375" style="15" customWidth="1"/>
    <col min="6152" max="6152" width="18.33203125" style="15" customWidth="1"/>
    <col min="6153" max="6153" width="10.88671875" style="15" bestFit="1" customWidth="1"/>
    <col min="6154" max="6154" width="14.33203125" style="15" customWidth="1"/>
    <col min="6155" max="6155" width="14.44140625" style="15" bestFit="1" customWidth="1"/>
    <col min="6156" max="6398" width="8.88671875" style="15"/>
    <col min="6399" max="6399" width="1.5546875" style="15" customWidth="1"/>
    <col min="6400" max="6401" width="9.33203125" style="15" customWidth="1"/>
    <col min="6402" max="6402" width="13.44140625" style="15" customWidth="1"/>
    <col min="6403" max="6403" width="32.5546875" style="15" customWidth="1"/>
    <col min="6404" max="6404" width="21.33203125" style="15" customWidth="1"/>
    <col min="6405" max="6405" width="12.33203125" style="15" customWidth="1"/>
    <col min="6406" max="6406" width="11.109375" style="15" customWidth="1"/>
    <col min="6407" max="6407" width="16.109375" style="15" customWidth="1"/>
    <col min="6408" max="6408" width="18.33203125" style="15" customWidth="1"/>
    <col min="6409" max="6409" width="10.88671875" style="15" bestFit="1" customWidth="1"/>
    <col min="6410" max="6410" width="14.33203125" style="15" customWidth="1"/>
    <col min="6411" max="6411" width="14.44140625" style="15" bestFit="1" customWidth="1"/>
    <col min="6412" max="6654" width="8.88671875" style="15"/>
    <col min="6655" max="6655" width="1.5546875" style="15" customWidth="1"/>
    <col min="6656" max="6657" width="9.33203125" style="15" customWidth="1"/>
    <col min="6658" max="6658" width="13.44140625" style="15" customWidth="1"/>
    <col min="6659" max="6659" width="32.5546875" style="15" customWidth="1"/>
    <col min="6660" max="6660" width="21.33203125" style="15" customWidth="1"/>
    <col min="6661" max="6661" width="12.33203125" style="15" customWidth="1"/>
    <col min="6662" max="6662" width="11.109375" style="15" customWidth="1"/>
    <col min="6663" max="6663" width="16.109375" style="15" customWidth="1"/>
    <col min="6664" max="6664" width="18.33203125" style="15" customWidth="1"/>
    <col min="6665" max="6665" width="10.88671875" style="15" bestFit="1" customWidth="1"/>
    <col min="6666" max="6666" width="14.33203125" style="15" customWidth="1"/>
    <col min="6667" max="6667" width="14.44140625" style="15" bestFit="1" customWidth="1"/>
    <col min="6668" max="6910" width="8.88671875" style="15"/>
    <col min="6911" max="6911" width="1.5546875" style="15" customWidth="1"/>
    <col min="6912" max="6913" width="9.33203125" style="15" customWidth="1"/>
    <col min="6914" max="6914" width="13.44140625" style="15" customWidth="1"/>
    <col min="6915" max="6915" width="32.5546875" style="15" customWidth="1"/>
    <col min="6916" max="6916" width="21.33203125" style="15" customWidth="1"/>
    <col min="6917" max="6917" width="12.33203125" style="15" customWidth="1"/>
    <col min="6918" max="6918" width="11.109375" style="15" customWidth="1"/>
    <col min="6919" max="6919" width="16.109375" style="15" customWidth="1"/>
    <col min="6920" max="6920" width="18.33203125" style="15" customWidth="1"/>
    <col min="6921" max="6921" width="10.88671875" style="15" bestFit="1" customWidth="1"/>
    <col min="6922" max="6922" width="14.33203125" style="15" customWidth="1"/>
    <col min="6923" max="6923" width="14.44140625" style="15" bestFit="1" customWidth="1"/>
    <col min="6924" max="7166" width="8.88671875" style="15"/>
    <col min="7167" max="7167" width="1.5546875" style="15" customWidth="1"/>
    <col min="7168" max="7169" width="9.33203125" style="15" customWidth="1"/>
    <col min="7170" max="7170" width="13.44140625" style="15" customWidth="1"/>
    <col min="7171" max="7171" width="32.5546875" style="15" customWidth="1"/>
    <col min="7172" max="7172" width="21.33203125" style="15" customWidth="1"/>
    <col min="7173" max="7173" width="12.33203125" style="15" customWidth="1"/>
    <col min="7174" max="7174" width="11.109375" style="15" customWidth="1"/>
    <col min="7175" max="7175" width="16.109375" style="15" customWidth="1"/>
    <col min="7176" max="7176" width="18.33203125" style="15" customWidth="1"/>
    <col min="7177" max="7177" width="10.88671875" style="15" bestFit="1" customWidth="1"/>
    <col min="7178" max="7178" width="14.33203125" style="15" customWidth="1"/>
    <col min="7179" max="7179" width="14.44140625" style="15" bestFit="1" customWidth="1"/>
    <col min="7180" max="7422" width="8.88671875" style="15"/>
    <col min="7423" max="7423" width="1.5546875" style="15" customWidth="1"/>
    <col min="7424" max="7425" width="9.33203125" style="15" customWidth="1"/>
    <col min="7426" max="7426" width="13.44140625" style="15" customWidth="1"/>
    <col min="7427" max="7427" width="32.5546875" style="15" customWidth="1"/>
    <col min="7428" max="7428" width="21.33203125" style="15" customWidth="1"/>
    <col min="7429" max="7429" width="12.33203125" style="15" customWidth="1"/>
    <col min="7430" max="7430" width="11.109375" style="15" customWidth="1"/>
    <col min="7431" max="7431" width="16.109375" style="15" customWidth="1"/>
    <col min="7432" max="7432" width="18.33203125" style="15" customWidth="1"/>
    <col min="7433" max="7433" width="10.88671875" style="15" bestFit="1" customWidth="1"/>
    <col min="7434" max="7434" width="14.33203125" style="15" customWidth="1"/>
    <col min="7435" max="7435" width="14.44140625" style="15" bestFit="1" customWidth="1"/>
    <col min="7436" max="7678" width="8.88671875" style="15"/>
    <col min="7679" max="7679" width="1.5546875" style="15" customWidth="1"/>
    <col min="7680" max="7681" width="9.33203125" style="15" customWidth="1"/>
    <col min="7682" max="7682" width="13.44140625" style="15" customWidth="1"/>
    <col min="7683" max="7683" width="32.5546875" style="15" customWidth="1"/>
    <col min="7684" max="7684" width="21.33203125" style="15" customWidth="1"/>
    <col min="7685" max="7685" width="12.33203125" style="15" customWidth="1"/>
    <col min="7686" max="7686" width="11.109375" style="15" customWidth="1"/>
    <col min="7687" max="7687" width="16.109375" style="15" customWidth="1"/>
    <col min="7688" max="7688" width="18.33203125" style="15" customWidth="1"/>
    <col min="7689" max="7689" width="10.88671875" style="15" bestFit="1" customWidth="1"/>
    <col min="7690" max="7690" width="14.33203125" style="15" customWidth="1"/>
    <col min="7691" max="7691" width="14.44140625" style="15" bestFit="1" customWidth="1"/>
    <col min="7692" max="7934" width="8.88671875" style="15"/>
    <col min="7935" max="7935" width="1.5546875" style="15" customWidth="1"/>
    <col min="7936" max="7937" width="9.33203125" style="15" customWidth="1"/>
    <col min="7938" max="7938" width="13.44140625" style="15" customWidth="1"/>
    <col min="7939" max="7939" width="32.5546875" style="15" customWidth="1"/>
    <col min="7940" max="7940" width="21.33203125" style="15" customWidth="1"/>
    <col min="7941" max="7941" width="12.33203125" style="15" customWidth="1"/>
    <col min="7942" max="7942" width="11.109375" style="15" customWidth="1"/>
    <col min="7943" max="7943" width="16.109375" style="15" customWidth="1"/>
    <col min="7944" max="7944" width="18.33203125" style="15" customWidth="1"/>
    <col min="7945" max="7945" width="10.88671875" style="15" bestFit="1" customWidth="1"/>
    <col min="7946" max="7946" width="14.33203125" style="15" customWidth="1"/>
    <col min="7947" max="7947" width="14.44140625" style="15" bestFit="1" customWidth="1"/>
    <col min="7948" max="8190" width="8.88671875" style="15"/>
    <col min="8191" max="8191" width="1.5546875" style="15" customWidth="1"/>
    <col min="8192" max="8193" width="9.33203125" style="15" customWidth="1"/>
    <col min="8194" max="8194" width="13.44140625" style="15" customWidth="1"/>
    <col min="8195" max="8195" width="32.5546875" style="15" customWidth="1"/>
    <col min="8196" max="8196" width="21.33203125" style="15" customWidth="1"/>
    <col min="8197" max="8197" width="12.33203125" style="15" customWidth="1"/>
    <col min="8198" max="8198" width="11.109375" style="15" customWidth="1"/>
    <col min="8199" max="8199" width="16.109375" style="15" customWidth="1"/>
    <col min="8200" max="8200" width="18.33203125" style="15" customWidth="1"/>
    <col min="8201" max="8201" width="10.88671875" style="15" bestFit="1" customWidth="1"/>
    <col min="8202" max="8202" width="14.33203125" style="15" customWidth="1"/>
    <col min="8203" max="8203" width="14.44140625" style="15" bestFit="1" customWidth="1"/>
    <col min="8204" max="8446" width="8.88671875" style="15"/>
    <col min="8447" max="8447" width="1.5546875" style="15" customWidth="1"/>
    <col min="8448" max="8449" width="9.33203125" style="15" customWidth="1"/>
    <col min="8450" max="8450" width="13.44140625" style="15" customWidth="1"/>
    <col min="8451" max="8451" width="32.5546875" style="15" customWidth="1"/>
    <col min="8452" max="8452" width="21.33203125" style="15" customWidth="1"/>
    <col min="8453" max="8453" width="12.33203125" style="15" customWidth="1"/>
    <col min="8454" max="8454" width="11.109375" style="15" customWidth="1"/>
    <col min="8455" max="8455" width="16.109375" style="15" customWidth="1"/>
    <col min="8456" max="8456" width="18.33203125" style="15" customWidth="1"/>
    <col min="8457" max="8457" width="10.88671875" style="15" bestFit="1" customWidth="1"/>
    <col min="8458" max="8458" width="14.33203125" style="15" customWidth="1"/>
    <col min="8459" max="8459" width="14.44140625" style="15" bestFit="1" customWidth="1"/>
    <col min="8460" max="8702" width="8.88671875" style="15"/>
    <col min="8703" max="8703" width="1.5546875" style="15" customWidth="1"/>
    <col min="8704" max="8705" width="9.33203125" style="15" customWidth="1"/>
    <col min="8706" max="8706" width="13.44140625" style="15" customWidth="1"/>
    <col min="8707" max="8707" width="32.5546875" style="15" customWidth="1"/>
    <col min="8708" max="8708" width="21.33203125" style="15" customWidth="1"/>
    <col min="8709" max="8709" width="12.33203125" style="15" customWidth="1"/>
    <col min="8710" max="8710" width="11.109375" style="15" customWidth="1"/>
    <col min="8711" max="8711" width="16.109375" style="15" customWidth="1"/>
    <col min="8712" max="8712" width="18.33203125" style="15" customWidth="1"/>
    <col min="8713" max="8713" width="10.88671875" style="15" bestFit="1" customWidth="1"/>
    <col min="8714" max="8714" width="14.33203125" style="15" customWidth="1"/>
    <col min="8715" max="8715" width="14.44140625" style="15" bestFit="1" customWidth="1"/>
    <col min="8716" max="8958" width="8.88671875" style="15"/>
    <col min="8959" max="8959" width="1.5546875" style="15" customWidth="1"/>
    <col min="8960" max="8961" width="9.33203125" style="15" customWidth="1"/>
    <col min="8962" max="8962" width="13.44140625" style="15" customWidth="1"/>
    <col min="8963" max="8963" width="32.5546875" style="15" customWidth="1"/>
    <col min="8964" max="8964" width="21.33203125" style="15" customWidth="1"/>
    <col min="8965" max="8965" width="12.33203125" style="15" customWidth="1"/>
    <col min="8966" max="8966" width="11.109375" style="15" customWidth="1"/>
    <col min="8967" max="8967" width="16.109375" style="15" customWidth="1"/>
    <col min="8968" max="8968" width="18.33203125" style="15" customWidth="1"/>
    <col min="8969" max="8969" width="10.88671875" style="15" bestFit="1" customWidth="1"/>
    <col min="8970" max="8970" width="14.33203125" style="15" customWidth="1"/>
    <col min="8971" max="8971" width="14.44140625" style="15" bestFit="1" customWidth="1"/>
    <col min="8972" max="9214" width="8.88671875" style="15"/>
    <col min="9215" max="9215" width="1.5546875" style="15" customWidth="1"/>
    <col min="9216" max="9217" width="9.33203125" style="15" customWidth="1"/>
    <col min="9218" max="9218" width="13.44140625" style="15" customWidth="1"/>
    <col min="9219" max="9219" width="32.5546875" style="15" customWidth="1"/>
    <col min="9220" max="9220" width="21.33203125" style="15" customWidth="1"/>
    <col min="9221" max="9221" width="12.33203125" style="15" customWidth="1"/>
    <col min="9222" max="9222" width="11.109375" style="15" customWidth="1"/>
    <col min="9223" max="9223" width="16.109375" style="15" customWidth="1"/>
    <col min="9224" max="9224" width="18.33203125" style="15" customWidth="1"/>
    <col min="9225" max="9225" width="10.88671875" style="15" bestFit="1" customWidth="1"/>
    <col min="9226" max="9226" width="14.33203125" style="15" customWidth="1"/>
    <col min="9227" max="9227" width="14.44140625" style="15" bestFit="1" customWidth="1"/>
    <col min="9228" max="9470" width="8.88671875" style="15"/>
    <col min="9471" max="9471" width="1.5546875" style="15" customWidth="1"/>
    <col min="9472" max="9473" width="9.33203125" style="15" customWidth="1"/>
    <col min="9474" max="9474" width="13.44140625" style="15" customWidth="1"/>
    <col min="9475" max="9475" width="32.5546875" style="15" customWidth="1"/>
    <col min="9476" max="9476" width="21.33203125" style="15" customWidth="1"/>
    <col min="9477" max="9477" width="12.33203125" style="15" customWidth="1"/>
    <col min="9478" max="9478" width="11.109375" style="15" customWidth="1"/>
    <col min="9479" max="9479" width="16.109375" style="15" customWidth="1"/>
    <col min="9480" max="9480" width="18.33203125" style="15" customWidth="1"/>
    <col min="9481" max="9481" width="10.88671875" style="15" bestFit="1" customWidth="1"/>
    <col min="9482" max="9482" width="14.33203125" style="15" customWidth="1"/>
    <col min="9483" max="9483" width="14.44140625" style="15" bestFit="1" customWidth="1"/>
    <col min="9484" max="9726" width="8.88671875" style="15"/>
    <col min="9727" max="9727" width="1.5546875" style="15" customWidth="1"/>
    <col min="9728" max="9729" width="9.33203125" style="15" customWidth="1"/>
    <col min="9730" max="9730" width="13.44140625" style="15" customWidth="1"/>
    <col min="9731" max="9731" width="32.5546875" style="15" customWidth="1"/>
    <col min="9732" max="9732" width="21.33203125" style="15" customWidth="1"/>
    <col min="9733" max="9733" width="12.33203125" style="15" customWidth="1"/>
    <col min="9734" max="9734" width="11.109375" style="15" customWidth="1"/>
    <col min="9735" max="9735" width="16.109375" style="15" customWidth="1"/>
    <col min="9736" max="9736" width="18.33203125" style="15" customWidth="1"/>
    <col min="9737" max="9737" width="10.88671875" style="15" bestFit="1" customWidth="1"/>
    <col min="9738" max="9738" width="14.33203125" style="15" customWidth="1"/>
    <col min="9739" max="9739" width="14.44140625" style="15" bestFit="1" customWidth="1"/>
    <col min="9740" max="9982" width="8.88671875" style="15"/>
    <col min="9983" max="9983" width="1.5546875" style="15" customWidth="1"/>
    <col min="9984" max="9985" width="9.33203125" style="15" customWidth="1"/>
    <col min="9986" max="9986" width="13.44140625" style="15" customWidth="1"/>
    <col min="9987" max="9987" width="32.5546875" style="15" customWidth="1"/>
    <col min="9988" max="9988" width="21.33203125" style="15" customWidth="1"/>
    <col min="9989" max="9989" width="12.33203125" style="15" customWidth="1"/>
    <col min="9990" max="9990" width="11.109375" style="15" customWidth="1"/>
    <col min="9991" max="9991" width="16.109375" style="15" customWidth="1"/>
    <col min="9992" max="9992" width="18.33203125" style="15" customWidth="1"/>
    <col min="9993" max="9993" width="10.88671875" style="15" bestFit="1" customWidth="1"/>
    <col min="9994" max="9994" width="14.33203125" style="15" customWidth="1"/>
    <col min="9995" max="9995" width="14.44140625" style="15" bestFit="1" customWidth="1"/>
    <col min="9996" max="10238" width="8.88671875" style="15"/>
    <col min="10239" max="10239" width="1.5546875" style="15" customWidth="1"/>
    <col min="10240" max="10241" width="9.33203125" style="15" customWidth="1"/>
    <col min="10242" max="10242" width="13.44140625" style="15" customWidth="1"/>
    <col min="10243" max="10243" width="32.5546875" style="15" customWidth="1"/>
    <col min="10244" max="10244" width="21.33203125" style="15" customWidth="1"/>
    <col min="10245" max="10245" width="12.33203125" style="15" customWidth="1"/>
    <col min="10246" max="10246" width="11.109375" style="15" customWidth="1"/>
    <col min="10247" max="10247" width="16.109375" style="15" customWidth="1"/>
    <col min="10248" max="10248" width="18.33203125" style="15" customWidth="1"/>
    <col min="10249" max="10249" width="10.88671875" style="15" bestFit="1" customWidth="1"/>
    <col min="10250" max="10250" width="14.33203125" style="15" customWidth="1"/>
    <col min="10251" max="10251" width="14.44140625" style="15" bestFit="1" customWidth="1"/>
    <col min="10252" max="10494" width="8.88671875" style="15"/>
    <col min="10495" max="10495" width="1.5546875" style="15" customWidth="1"/>
    <col min="10496" max="10497" width="9.33203125" style="15" customWidth="1"/>
    <col min="10498" max="10498" width="13.44140625" style="15" customWidth="1"/>
    <col min="10499" max="10499" width="32.5546875" style="15" customWidth="1"/>
    <col min="10500" max="10500" width="21.33203125" style="15" customWidth="1"/>
    <col min="10501" max="10501" width="12.33203125" style="15" customWidth="1"/>
    <col min="10502" max="10502" width="11.109375" style="15" customWidth="1"/>
    <col min="10503" max="10503" width="16.109375" style="15" customWidth="1"/>
    <col min="10504" max="10504" width="18.33203125" style="15" customWidth="1"/>
    <col min="10505" max="10505" width="10.88671875" style="15" bestFit="1" customWidth="1"/>
    <col min="10506" max="10506" width="14.33203125" style="15" customWidth="1"/>
    <col min="10507" max="10507" width="14.44140625" style="15" bestFit="1" customWidth="1"/>
    <col min="10508" max="10750" width="8.88671875" style="15"/>
    <col min="10751" max="10751" width="1.5546875" style="15" customWidth="1"/>
    <col min="10752" max="10753" width="9.33203125" style="15" customWidth="1"/>
    <col min="10754" max="10754" width="13.44140625" style="15" customWidth="1"/>
    <col min="10755" max="10755" width="32.5546875" style="15" customWidth="1"/>
    <col min="10756" max="10756" width="21.33203125" style="15" customWidth="1"/>
    <col min="10757" max="10757" width="12.33203125" style="15" customWidth="1"/>
    <col min="10758" max="10758" width="11.109375" style="15" customWidth="1"/>
    <col min="10759" max="10759" width="16.109375" style="15" customWidth="1"/>
    <col min="10760" max="10760" width="18.33203125" style="15" customWidth="1"/>
    <col min="10761" max="10761" width="10.88671875" style="15" bestFit="1" customWidth="1"/>
    <col min="10762" max="10762" width="14.33203125" style="15" customWidth="1"/>
    <col min="10763" max="10763" width="14.44140625" style="15" bestFit="1" customWidth="1"/>
    <col min="10764" max="11006" width="8.88671875" style="15"/>
    <col min="11007" max="11007" width="1.5546875" style="15" customWidth="1"/>
    <col min="11008" max="11009" width="9.33203125" style="15" customWidth="1"/>
    <col min="11010" max="11010" width="13.44140625" style="15" customWidth="1"/>
    <col min="11011" max="11011" width="32.5546875" style="15" customWidth="1"/>
    <col min="11012" max="11012" width="21.33203125" style="15" customWidth="1"/>
    <col min="11013" max="11013" width="12.33203125" style="15" customWidth="1"/>
    <col min="11014" max="11014" width="11.109375" style="15" customWidth="1"/>
    <col min="11015" max="11015" width="16.109375" style="15" customWidth="1"/>
    <col min="11016" max="11016" width="18.33203125" style="15" customWidth="1"/>
    <col min="11017" max="11017" width="10.88671875" style="15" bestFit="1" customWidth="1"/>
    <col min="11018" max="11018" width="14.33203125" style="15" customWidth="1"/>
    <col min="11019" max="11019" width="14.44140625" style="15" bestFit="1" customWidth="1"/>
    <col min="11020" max="11262" width="8.88671875" style="15"/>
    <col min="11263" max="11263" width="1.5546875" style="15" customWidth="1"/>
    <col min="11264" max="11265" width="9.33203125" style="15" customWidth="1"/>
    <col min="11266" max="11266" width="13.44140625" style="15" customWidth="1"/>
    <col min="11267" max="11267" width="32.5546875" style="15" customWidth="1"/>
    <col min="11268" max="11268" width="21.33203125" style="15" customWidth="1"/>
    <col min="11269" max="11269" width="12.33203125" style="15" customWidth="1"/>
    <col min="11270" max="11270" width="11.109375" style="15" customWidth="1"/>
    <col min="11271" max="11271" width="16.109375" style="15" customWidth="1"/>
    <col min="11272" max="11272" width="18.33203125" style="15" customWidth="1"/>
    <col min="11273" max="11273" width="10.88671875" style="15" bestFit="1" customWidth="1"/>
    <col min="11274" max="11274" width="14.33203125" style="15" customWidth="1"/>
    <col min="11275" max="11275" width="14.44140625" style="15" bestFit="1" customWidth="1"/>
    <col min="11276" max="11518" width="8.88671875" style="15"/>
    <col min="11519" max="11519" width="1.5546875" style="15" customWidth="1"/>
    <col min="11520" max="11521" width="9.33203125" style="15" customWidth="1"/>
    <col min="11522" max="11522" width="13.44140625" style="15" customWidth="1"/>
    <col min="11523" max="11523" width="32.5546875" style="15" customWidth="1"/>
    <col min="11524" max="11524" width="21.33203125" style="15" customWidth="1"/>
    <col min="11525" max="11525" width="12.33203125" style="15" customWidth="1"/>
    <col min="11526" max="11526" width="11.109375" style="15" customWidth="1"/>
    <col min="11527" max="11527" width="16.109375" style="15" customWidth="1"/>
    <col min="11528" max="11528" width="18.33203125" style="15" customWidth="1"/>
    <col min="11529" max="11529" width="10.88671875" style="15" bestFit="1" customWidth="1"/>
    <col min="11530" max="11530" width="14.33203125" style="15" customWidth="1"/>
    <col min="11531" max="11531" width="14.44140625" style="15" bestFit="1" customWidth="1"/>
    <col min="11532" max="11774" width="8.88671875" style="15"/>
    <col min="11775" max="11775" width="1.5546875" style="15" customWidth="1"/>
    <col min="11776" max="11777" width="9.33203125" style="15" customWidth="1"/>
    <col min="11778" max="11778" width="13.44140625" style="15" customWidth="1"/>
    <col min="11779" max="11779" width="32.5546875" style="15" customWidth="1"/>
    <col min="11780" max="11780" width="21.33203125" style="15" customWidth="1"/>
    <col min="11781" max="11781" width="12.33203125" style="15" customWidth="1"/>
    <col min="11782" max="11782" width="11.109375" style="15" customWidth="1"/>
    <col min="11783" max="11783" width="16.109375" style="15" customWidth="1"/>
    <col min="11784" max="11784" width="18.33203125" style="15" customWidth="1"/>
    <col min="11785" max="11785" width="10.88671875" style="15" bestFit="1" customWidth="1"/>
    <col min="11786" max="11786" width="14.33203125" style="15" customWidth="1"/>
    <col min="11787" max="11787" width="14.44140625" style="15" bestFit="1" customWidth="1"/>
    <col min="11788" max="12030" width="8.88671875" style="15"/>
    <col min="12031" max="12031" width="1.5546875" style="15" customWidth="1"/>
    <col min="12032" max="12033" width="9.33203125" style="15" customWidth="1"/>
    <col min="12034" max="12034" width="13.44140625" style="15" customWidth="1"/>
    <col min="12035" max="12035" width="32.5546875" style="15" customWidth="1"/>
    <col min="12036" max="12036" width="21.33203125" style="15" customWidth="1"/>
    <col min="12037" max="12037" width="12.33203125" style="15" customWidth="1"/>
    <col min="12038" max="12038" width="11.109375" style="15" customWidth="1"/>
    <col min="12039" max="12039" width="16.109375" style="15" customWidth="1"/>
    <col min="12040" max="12040" width="18.33203125" style="15" customWidth="1"/>
    <col min="12041" max="12041" width="10.88671875" style="15" bestFit="1" customWidth="1"/>
    <col min="12042" max="12042" width="14.33203125" style="15" customWidth="1"/>
    <col min="12043" max="12043" width="14.44140625" style="15" bestFit="1" customWidth="1"/>
    <col min="12044" max="12286" width="8.88671875" style="15"/>
    <col min="12287" max="12287" width="1.5546875" style="15" customWidth="1"/>
    <col min="12288" max="12289" width="9.33203125" style="15" customWidth="1"/>
    <col min="12290" max="12290" width="13.44140625" style="15" customWidth="1"/>
    <col min="12291" max="12291" width="32.5546875" style="15" customWidth="1"/>
    <col min="12292" max="12292" width="21.33203125" style="15" customWidth="1"/>
    <col min="12293" max="12293" width="12.33203125" style="15" customWidth="1"/>
    <col min="12294" max="12294" width="11.109375" style="15" customWidth="1"/>
    <col min="12295" max="12295" width="16.109375" style="15" customWidth="1"/>
    <col min="12296" max="12296" width="18.33203125" style="15" customWidth="1"/>
    <col min="12297" max="12297" width="10.88671875" style="15" bestFit="1" customWidth="1"/>
    <col min="12298" max="12298" width="14.33203125" style="15" customWidth="1"/>
    <col min="12299" max="12299" width="14.44140625" style="15" bestFit="1" customWidth="1"/>
    <col min="12300" max="12542" width="8.88671875" style="15"/>
    <col min="12543" max="12543" width="1.5546875" style="15" customWidth="1"/>
    <col min="12544" max="12545" width="9.33203125" style="15" customWidth="1"/>
    <col min="12546" max="12546" width="13.44140625" style="15" customWidth="1"/>
    <col min="12547" max="12547" width="32.5546875" style="15" customWidth="1"/>
    <col min="12548" max="12548" width="21.33203125" style="15" customWidth="1"/>
    <col min="12549" max="12549" width="12.33203125" style="15" customWidth="1"/>
    <col min="12550" max="12550" width="11.109375" style="15" customWidth="1"/>
    <col min="12551" max="12551" width="16.109375" style="15" customWidth="1"/>
    <col min="12552" max="12552" width="18.33203125" style="15" customWidth="1"/>
    <col min="12553" max="12553" width="10.88671875" style="15" bestFit="1" customWidth="1"/>
    <col min="12554" max="12554" width="14.33203125" style="15" customWidth="1"/>
    <col min="12555" max="12555" width="14.44140625" style="15" bestFit="1" customWidth="1"/>
    <col min="12556" max="12798" width="8.88671875" style="15"/>
    <col min="12799" max="12799" width="1.5546875" style="15" customWidth="1"/>
    <col min="12800" max="12801" width="9.33203125" style="15" customWidth="1"/>
    <col min="12802" max="12802" width="13.44140625" style="15" customWidth="1"/>
    <col min="12803" max="12803" width="32.5546875" style="15" customWidth="1"/>
    <col min="12804" max="12804" width="21.33203125" style="15" customWidth="1"/>
    <col min="12805" max="12805" width="12.33203125" style="15" customWidth="1"/>
    <col min="12806" max="12806" width="11.109375" style="15" customWidth="1"/>
    <col min="12807" max="12807" width="16.109375" style="15" customWidth="1"/>
    <col min="12808" max="12808" width="18.33203125" style="15" customWidth="1"/>
    <col min="12809" max="12809" width="10.88671875" style="15" bestFit="1" customWidth="1"/>
    <col min="12810" max="12810" width="14.33203125" style="15" customWidth="1"/>
    <col min="12811" max="12811" width="14.44140625" style="15" bestFit="1" customWidth="1"/>
    <col min="12812" max="13054" width="8.88671875" style="15"/>
    <col min="13055" max="13055" width="1.5546875" style="15" customWidth="1"/>
    <col min="13056" max="13057" width="9.33203125" style="15" customWidth="1"/>
    <col min="13058" max="13058" width="13.44140625" style="15" customWidth="1"/>
    <col min="13059" max="13059" width="32.5546875" style="15" customWidth="1"/>
    <col min="13060" max="13060" width="21.33203125" style="15" customWidth="1"/>
    <col min="13061" max="13061" width="12.33203125" style="15" customWidth="1"/>
    <col min="13062" max="13062" width="11.109375" style="15" customWidth="1"/>
    <col min="13063" max="13063" width="16.109375" style="15" customWidth="1"/>
    <col min="13064" max="13064" width="18.33203125" style="15" customWidth="1"/>
    <col min="13065" max="13065" width="10.88671875" style="15" bestFit="1" customWidth="1"/>
    <col min="13066" max="13066" width="14.33203125" style="15" customWidth="1"/>
    <col min="13067" max="13067" width="14.44140625" style="15" bestFit="1" customWidth="1"/>
    <col min="13068" max="13310" width="8.88671875" style="15"/>
    <col min="13311" max="13311" width="1.5546875" style="15" customWidth="1"/>
    <col min="13312" max="13313" width="9.33203125" style="15" customWidth="1"/>
    <col min="13314" max="13314" width="13.44140625" style="15" customWidth="1"/>
    <col min="13315" max="13315" width="32.5546875" style="15" customWidth="1"/>
    <col min="13316" max="13316" width="21.33203125" style="15" customWidth="1"/>
    <col min="13317" max="13317" width="12.33203125" style="15" customWidth="1"/>
    <col min="13318" max="13318" width="11.109375" style="15" customWidth="1"/>
    <col min="13319" max="13319" width="16.109375" style="15" customWidth="1"/>
    <col min="13320" max="13320" width="18.33203125" style="15" customWidth="1"/>
    <col min="13321" max="13321" width="10.88671875" style="15" bestFit="1" customWidth="1"/>
    <col min="13322" max="13322" width="14.33203125" style="15" customWidth="1"/>
    <col min="13323" max="13323" width="14.44140625" style="15" bestFit="1" customWidth="1"/>
    <col min="13324" max="13566" width="8.88671875" style="15"/>
    <col min="13567" max="13567" width="1.5546875" style="15" customWidth="1"/>
    <col min="13568" max="13569" width="9.33203125" style="15" customWidth="1"/>
    <col min="13570" max="13570" width="13.44140625" style="15" customWidth="1"/>
    <col min="13571" max="13571" width="32.5546875" style="15" customWidth="1"/>
    <col min="13572" max="13572" width="21.33203125" style="15" customWidth="1"/>
    <col min="13573" max="13573" width="12.33203125" style="15" customWidth="1"/>
    <col min="13574" max="13574" width="11.109375" style="15" customWidth="1"/>
    <col min="13575" max="13575" width="16.109375" style="15" customWidth="1"/>
    <col min="13576" max="13576" width="18.33203125" style="15" customWidth="1"/>
    <col min="13577" max="13577" width="10.88671875" style="15" bestFit="1" customWidth="1"/>
    <col min="13578" max="13578" width="14.33203125" style="15" customWidth="1"/>
    <col min="13579" max="13579" width="14.44140625" style="15" bestFit="1" customWidth="1"/>
    <col min="13580" max="13822" width="8.88671875" style="15"/>
    <col min="13823" max="13823" width="1.5546875" style="15" customWidth="1"/>
    <col min="13824" max="13825" width="9.33203125" style="15" customWidth="1"/>
    <col min="13826" max="13826" width="13.44140625" style="15" customWidth="1"/>
    <col min="13827" max="13827" width="32.5546875" style="15" customWidth="1"/>
    <col min="13828" max="13828" width="21.33203125" style="15" customWidth="1"/>
    <col min="13829" max="13829" width="12.33203125" style="15" customWidth="1"/>
    <col min="13830" max="13830" width="11.109375" style="15" customWidth="1"/>
    <col min="13831" max="13831" width="16.109375" style="15" customWidth="1"/>
    <col min="13832" max="13832" width="18.33203125" style="15" customWidth="1"/>
    <col min="13833" max="13833" width="10.88671875" style="15" bestFit="1" customWidth="1"/>
    <col min="13834" max="13834" width="14.33203125" style="15" customWidth="1"/>
    <col min="13835" max="13835" width="14.44140625" style="15" bestFit="1" customWidth="1"/>
    <col min="13836" max="14078" width="8.88671875" style="15"/>
    <col min="14079" max="14079" width="1.5546875" style="15" customWidth="1"/>
    <col min="14080" max="14081" width="9.33203125" style="15" customWidth="1"/>
    <col min="14082" max="14082" width="13.44140625" style="15" customWidth="1"/>
    <col min="14083" max="14083" width="32.5546875" style="15" customWidth="1"/>
    <col min="14084" max="14084" width="21.33203125" style="15" customWidth="1"/>
    <col min="14085" max="14085" width="12.33203125" style="15" customWidth="1"/>
    <col min="14086" max="14086" width="11.109375" style="15" customWidth="1"/>
    <col min="14087" max="14087" width="16.109375" style="15" customWidth="1"/>
    <col min="14088" max="14088" width="18.33203125" style="15" customWidth="1"/>
    <col min="14089" max="14089" width="10.88671875" style="15" bestFit="1" customWidth="1"/>
    <col min="14090" max="14090" width="14.33203125" style="15" customWidth="1"/>
    <col min="14091" max="14091" width="14.44140625" style="15" bestFit="1" customWidth="1"/>
    <col min="14092" max="14334" width="8.88671875" style="15"/>
    <col min="14335" max="14335" width="1.5546875" style="15" customWidth="1"/>
    <col min="14336" max="14337" width="9.33203125" style="15" customWidth="1"/>
    <col min="14338" max="14338" width="13.44140625" style="15" customWidth="1"/>
    <col min="14339" max="14339" width="32.5546875" style="15" customWidth="1"/>
    <col min="14340" max="14340" width="21.33203125" style="15" customWidth="1"/>
    <col min="14341" max="14341" width="12.33203125" style="15" customWidth="1"/>
    <col min="14342" max="14342" width="11.109375" style="15" customWidth="1"/>
    <col min="14343" max="14343" width="16.109375" style="15" customWidth="1"/>
    <col min="14344" max="14344" width="18.33203125" style="15" customWidth="1"/>
    <col min="14345" max="14345" width="10.88671875" style="15" bestFit="1" customWidth="1"/>
    <col min="14346" max="14346" width="14.33203125" style="15" customWidth="1"/>
    <col min="14347" max="14347" width="14.44140625" style="15" bestFit="1" customWidth="1"/>
    <col min="14348" max="14590" width="8.88671875" style="15"/>
    <col min="14591" max="14591" width="1.5546875" style="15" customWidth="1"/>
    <col min="14592" max="14593" width="9.33203125" style="15" customWidth="1"/>
    <col min="14594" max="14594" width="13.44140625" style="15" customWidth="1"/>
    <col min="14595" max="14595" width="32.5546875" style="15" customWidth="1"/>
    <col min="14596" max="14596" width="21.33203125" style="15" customWidth="1"/>
    <col min="14597" max="14597" width="12.33203125" style="15" customWidth="1"/>
    <col min="14598" max="14598" width="11.109375" style="15" customWidth="1"/>
    <col min="14599" max="14599" width="16.109375" style="15" customWidth="1"/>
    <col min="14600" max="14600" width="18.33203125" style="15" customWidth="1"/>
    <col min="14601" max="14601" width="10.88671875" style="15" bestFit="1" customWidth="1"/>
    <col min="14602" max="14602" width="14.33203125" style="15" customWidth="1"/>
    <col min="14603" max="14603" width="14.44140625" style="15" bestFit="1" customWidth="1"/>
    <col min="14604" max="14846" width="8.88671875" style="15"/>
    <col min="14847" max="14847" width="1.5546875" style="15" customWidth="1"/>
    <col min="14848" max="14849" width="9.33203125" style="15" customWidth="1"/>
    <col min="14850" max="14850" width="13.44140625" style="15" customWidth="1"/>
    <col min="14851" max="14851" width="32.5546875" style="15" customWidth="1"/>
    <col min="14852" max="14852" width="21.33203125" style="15" customWidth="1"/>
    <col min="14853" max="14853" width="12.33203125" style="15" customWidth="1"/>
    <col min="14854" max="14854" width="11.109375" style="15" customWidth="1"/>
    <col min="14855" max="14855" width="16.109375" style="15" customWidth="1"/>
    <col min="14856" max="14856" width="18.33203125" style="15" customWidth="1"/>
    <col min="14857" max="14857" width="10.88671875" style="15" bestFit="1" customWidth="1"/>
    <col min="14858" max="14858" width="14.33203125" style="15" customWidth="1"/>
    <col min="14859" max="14859" width="14.44140625" style="15" bestFit="1" customWidth="1"/>
    <col min="14860" max="15102" width="8.88671875" style="15"/>
    <col min="15103" max="15103" width="1.5546875" style="15" customWidth="1"/>
    <col min="15104" max="15105" width="9.33203125" style="15" customWidth="1"/>
    <col min="15106" max="15106" width="13.44140625" style="15" customWidth="1"/>
    <col min="15107" max="15107" width="32.5546875" style="15" customWidth="1"/>
    <col min="15108" max="15108" width="21.33203125" style="15" customWidth="1"/>
    <col min="15109" max="15109" width="12.33203125" style="15" customWidth="1"/>
    <col min="15110" max="15110" width="11.109375" style="15" customWidth="1"/>
    <col min="15111" max="15111" width="16.109375" style="15" customWidth="1"/>
    <col min="15112" max="15112" width="18.33203125" style="15" customWidth="1"/>
    <col min="15113" max="15113" width="10.88671875" style="15" bestFit="1" customWidth="1"/>
    <col min="15114" max="15114" width="14.33203125" style="15" customWidth="1"/>
    <col min="15115" max="15115" width="14.44140625" style="15" bestFit="1" customWidth="1"/>
    <col min="15116" max="15358" width="8.88671875" style="15"/>
    <col min="15359" max="15359" width="1.5546875" style="15" customWidth="1"/>
    <col min="15360" max="15361" width="9.33203125" style="15" customWidth="1"/>
    <col min="15362" max="15362" width="13.44140625" style="15" customWidth="1"/>
    <col min="15363" max="15363" width="32.5546875" style="15" customWidth="1"/>
    <col min="15364" max="15364" width="21.33203125" style="15" customWidth="1"/>
    <col min="15365" max="15365" width="12.33203125" style="15" customWidth="1"/>
    <col min="15366" max="15366" width="11.109375" style="15" customWidth="1"/>
    <col min="15367" max="15367" width="16.109375" style="15" customWidth="1"/>
    <col min="15368" max="15368" width="18.33203125" style="15" customWidth="1"/>
    <col min="15369" max="15369" width="10.88671875" style="15" bestFit="1" customWidth="1"/>
    <col min="15370" max="15370" width="14.33203125" style="15" customWidth="1"/>
    <col min="15371" max="15371" width="14.44140625" style="15" bestFit="1" customWidth="1"/>
    <col min="15372" max="15614" width="8.88671875" style="15"/>
    <col min="15615" max="15615" width="1.5546875" style="15" customWidth="1"/>
    <col min="15616" max="15617" width="9.33203125" style="15" customWidth="1"/>
    <col min="15618" max="15618" width="13.44140625" style="15" customWidth="1"/>
    <col min="15619" max="15619" width="32.5546875" style="15" customWidth="1"/>
    <col min="15620" max="15620" width="21.33203125" style="15" customWidth="1"/>
    <col min="15621" max="15621" width="12.33203125" style="15" customWidth="1"/>
    <col min="15622" max="15622" width="11.109375" style="15" customWidth="1"/>
    <col min="15623" max="15623" width="16.109375" style="15" customWidth="1"/>
    <col min="15624" max="15624" width="18.33203125" style="15" customWidth="1"/>
    <col min="15625" max="15625" width="10.88671875" style="15" bestFit="1" customWidth="1"/>
    <col min="15626" max="15626" width="14.33203125" style="15" customWidth="1"/>
    <col min="15627" max="15627" width="14.44140625" style="15" bestFit="1" customWidth="1"/>
    <col min="15628" max="15870" width="8.88671875" style="15"/>
    <col min="15871" max="15871" width="1.5546875" style="15" customWidth="1"/>
    <col min="15872" max="15873" width="9.33203125" style="15" customWidth="1"/>
    <col min="15874" max="15874" width="13.44140625" style="15" customWidth="1"/>
    <col min="15875" max="15875" width="32.5546875" style="15" customWidth="1"/>
    <col min="15876" max="15876" width="21.33203125" style="15" customWidth="1"/>
    <col min="15877" max="15877" width="12.33203125" style="15" customWidth="1"/>
    <col min="15878" max="15878" width="11.109375" style="15" customWidth="1"/>
    <col min="15879" max="15879" width="16.109375" style="15" customWidth="1"/>
    <col min="15880" max="15880" width="18.33203125" style="15" customWidth="1"/>
    <col min="15881" max="15881" width="10.88671875" style="15" bestFit="1" customWidth="1"/>
    <col min="15882" max="15882" width="14.33203125" style="15" customWidth="1"/>
    <col min="15883" max="15883" width="14.44140625" style="15" bestFit="1" customWidth="1"/>
    <col min="15884" max="16126" width="8.88671875" style="15"/>
    <col min="16127" max="16127" width="1.5546875" style="15" customWidth="1"/>
    <col min="16128" max="16129" width="9.33203125" style="15" customWidth="1"/>
    <col min="16130" max="16130" width="13.44140625" style="15" customWidth="1"/>
    <col min="16131" max="16131" width="32.5546875" style="15" customWidth="1"/>
    <col min="16132" max="16132" width="21.33203125" style="15" customWidth="1"/>
    <col min="16133" max="16133" width="12.33203125" style="15" customWidth="1"/>
    <col min="16134" max="16134" width="11.109375" style="15" customWidth="1"/>
    <col min="16135" max="16135" width="16.109375" style="15" customWidth="1"/>
    <col min="16136" max="16136" width="18.33203125" style="15" customWidth="1"/>
    <col min="16137" max="16137" width="10.88671875" style="15" bestFit="1" customWidth="1"/>
    <col min="16138" max="16138" width="14.33203125" style="15" customWidth="1"/>
    <col min="16139" max="16139" width="14.44140625" style="15" bestFit="1" customWidth="1"/>
    <col min="16140" max="16384" width="8.88671875" style="15"/>
  </cols>
  <sheetData>
    <row r="1" spans="1:25" s="73" customFormat="1" ht="22.2" customHeight="1" x14ac:dyDescent="0.3">
      <c r="A1" s="71" t="s">
        <v>305</v>
      </c>
      <c r="B1" s="168" t="s">
        <v>306</v>
      </c>
      <c r="C1" s="169"/>
      <c r="D1" s="72" t="s">
        <v>302</v>
      </c>
      <c r="E1" s="192" t="s">
        <v>303</v>
      </c>
      <c r="F1" s="193"/>
      <c r="G1" s="193"/>
      <c r="H1" s="194"/>
      <c r="J1" s="74"/>
    </row>
    <row r="2" spans="1:25" s="73" customFormat="1" ht="21" customHeight="1" x14ac:dyDescent="0.3">
      <c r="A2" s="75" t="s">
        <v>307</v>
      </c>
      <c r="B2" s="176" t="s">
        <v>339</v>
      </c>
      <c r="C2" s="191"/>
      <c r="D2" s="76"/>
      <c r="E2" s="176" t="s">
        <v>345</v>
      </c>
      <c r="F2" s="177"/>
      <c r="G2" s="177"/>
      <c r="H2" s="178"/>
      <c r="J2" s="74"/>
    </row>
    <row r="3" spans="1:25" s="73" customFormat="1" ht="12.75" customHeight="1" x14ac:dyDescent="0.3">
      <c r="A3" s="75"/>
      <c r="B3" s="176" t="s">
        <v>340</v>
      </c>
      <c r="C3" s="191"/>
      <c r="D3" s="77"/>
      <c r="E3" s="179" t="s">
        <v>346</v>
      </c>
      <c r="F3" s="180"/>
      <c r="G3" s="180"/>
      <c r="H3" s="181"/>
      <c r="J3" s="16"/>
    </row>
    <row r="4" spans="1:25" s="73" customFormat="1" ht="12.75" customHeight="1" x14ac:dyDescent="0.3">
      <c r="A4" s="75"/>
      <c r="B4" s="176" t="s">
        <v>341</v>
      </c>
      <c r="C4" s="191"/>
      <c r="D4" s="78" t="s">
        <v>304</v>
      </c>
      <c r="E4" s="182"/>
      <c r="F4" s="183"/>
      <c r="G4" s="183"/>
      <c r="H4" s="184"/>
      <c r="J4" s="74"/>
    </row>
    <row r="5" spans="1:25" s="73" customFormat="1" ht="16.5" customHeight="1" x14ac:dyDescent="0.3">
      <c r="A5" s="79"/>
      <c r="B5" s="185"/>
      <c r="C5" s="212"/>
      <c r="D5" s="80" t="s">
        <v>349</v>
      </c>
      <c r="E5" s="195" t="s">
        <v>348</v>
      </c>
      <c r="F5" s="196"/>
      <c r="G5" s="196"/>
      <c r="H5" s="197"/>
      <c r="J5" s="74"/>
    </row>
    <row r="6" spans="1:25" s="73" customFormat="1" ht="14.4" customHeight="1" x14ac:dyDescent="0.3">
      <c r="A6" s="81" t="s">
        <v>309</v>
      </c>
      <c r="B6" s="210" t="s">
        <v>310</v>
      </c>
      <c r="C6" s="211"/>
      <c r="D6" s="82" t="s">
        <v>308</v>
      </c>
      <c r="E6" s="188">
        <f ca="1">TODAY()</f>
        <v>45849</v>
      </c>
      <c r="F6" s="189"/>
      <c r="G6" s="189"/>
      <c r="H6" s="190"/>
      <c r="J6" s="74"/>
    </row>
    <row r="7" spans="1:25" s="73" customFormat="1" ht="18" customHeight="1" x14ac:dyDescent="0.3">
      <c r="A7" s="81" t="s">
        <v>312</v>
      </c>
      <c r="B7" s="210" t="s">
        <v>313</v>
      </c>
      <c r="C7" s="211"/>
      <c r="D7" s="83" t="s">
        <v>351</v>
      </c>
      <c r="E7" s="198" t="s">
        <v>350</v>
      </c>
      <c r="F7" s="199"/>
      <c r="G7" s="199"/>
      <c r="H7" s="200"/>
      <c r="J7" s="74"/>
    </row>
    <row r="8" spans="1:25" s="73" customFormat="1" ht="12.75" customHeight="1" x14ac:dyDescent="0.3">
      <c r="A8" s="84"/>
      <c r="B8" s="164"/>
      <c r="C8" s="165"/>
      <c r="D8" s="85" t="s">
        <v>311</v>
      </c>
      <c r="E8" s="201" t="str">
        <f>E1</f>
        <v>Zerone Technologies Pvt Ltd</v>
      </c>
      <c r="F8" s="202"/>
      <c r="G8" s="202"/>
      <c r="H8" s="203"/>
      <c r="J8" s="74"/>
    </row>
    <row r="9" spans="1:25" s="73" customFormat="1" ht="17.399999999999999" customHeight="1" x14ac:dyDescent="0.3">
      <c r="A9" s="86"/>
      <c r="B9" s="164"/>
      <c r="C9" s="165"/>
      <c r="D9" s="87"/>
      <c r="E9" s="170" t="s">
        <v>345</v>
      </c>
      <c r="F9" s="171"/>
      <c r="G9" s="171"/>
      <c r="H9" s="172"/>
      <c r="J9" s="74"/>
    </row>
    <row r="10" spans="1:25" s="73" customFormat="1" ht="17.399999999999999" customHeight="1" x14ac:dyDescent="0.3">
      <c r="A10" s="86"/>
      <c r="B10" s="213"/>
      <c r="C10" s="214"/>
      <c r="D10" s="88"/>
      <c r="E10" s="185" t="s">
        <v>347</v>
      </c>
      <c r="F10" s="186"/>
      <c r="G10" s="186"/>
      <c r="H10" s="187"/>
      <c r="J10" s="74"/>
    </row>
    <row r="11" spans="1:25" s="73" customFormat="1" ht="17.399999999999999" customHeight="1" x14ac:dyDescent="0.3">
      <c r="A11" s="89" t="s">
        <v>314</v>
      </c>
      <c r="B11" s="166" t="s">
        <v>315</v>
      </c>
      <c r="C11" s="167"/>
      <c r="D11" s="90" t="s">
        <v>299</v>
      </c>
      <c r="E11" s="173" t="s">
        <v>352</v>
      </c>
      <c r="F11" s="174"/>
      <c r="G11" s="174"/>
      <c r="H11" s="175"/>
      <c r="J11" s="74"/>
    </row>
    <row r="12" spans="1:25" s="73" customFormat="1" ht="5.25" customHeight="1" x14ac:dyDescent="0.3">
      <c r="A12" s="91"/>
      <c r="B12" s="92"/>
      <c r="C12" s="93"/>
      <c r="D12" s="93"/>
      <c r="E12" s="93"/>
      <c r="F12" s="94"/>
      <c r="G12" s="94"/>
      <c r="H12" s="95"/>
      <c r="J12" s="74"/>
    </row>
    <row r="13" spans="1:25" s="73" customFormat="1" x14ac:dyDescent="0.3">
      <c r="A13" s="158" t="s">
        <v>316</v>
      </c>
      <c r="B13" s="159"/>
      <c r="C13" s="159"/>
      <c r="D13" s="159"/>
      <c r="E13" s="159"/>
      <c r="F13" s="159"/>
      <c r="G13" s="159"/>
      <c r="H13" s="160"/>
      <c r="J13" s="74"/>
    </row>
    <row r="14" spans="1:25" s="73" customFormat="1" ht="5.25" customHeight="1" thickBot="1" x14ac:dyDescent="0.35">
      <c r="A14" s="96"/>
      <c r="B14" s="97"/>
      <c r="C14" s="97"/>
      <c r="D14" s="97"/>
      <c r="E14" s="97"/>
      <c r="F14" s="98"/>
      <c r="G14" s="98"/>
      <c r="H14" s="99"/>
      <c r="J14" s="74"/>
    </row>
    <row r="15" spans="1:25" s="100" customFormat="1" ht="20.25" customHeight="1" x14ac:dyDescent="0.3">
      <c r="A15" s="161" t="s">
        <v>317</v>
      </c>
      <c r="B15" s="162"/>
      <c r="C15" s="162"/>
      <c r="D15" s="162"/>
      <c r="E15" s="162"/>
      <c r="F15" s="162"/>
      <c r="G15" s="162"/>
      <c r="H15" s="163"/>
      <c r="J15" s="101"/>
    </row>
    <row r="16" spans="1:25" s="18" customFormat="1" ht="17.25" customHeight="1" x14ac:dyDescent="0.3">
      <c r="A16" s="140" t="s">
        <v>274</v>
      </c>
      <c r="B16" s="102" t="s">
        <v>1</v>
      </c>
      <c r="C16" s="103" t="s">
        <v>2</v>
      </c>
      <c r="D16" s="103" t="s">
        <v>343</v>
      </c>
      <c r="E16" s="103" t="s">
        <v>344</v>
      </c>
      <c r="F16" s="103" t="s">
        <v>281</v>
      </c>
      <c r="G16" s="103" t="s">
        <v>318</v>
      </c>
      <c r="H16" s="104" t="s">
        <v>319</v>
      </c>
      <c r="I16" s="100" t="s">
        <v>354</v>
      </c>
      <c r="J16" s="142" t="s">
        <v>353</v>
      </c>
      <c r="L16" s="100"/>
      <c r="M16" s="100"/>
      <c r="N16" s="100"/>
      <c r="O16" s="100"/>
      <c r="P16" s="100"/>
      <c r="Q16" s="100"/>
      <c r="R16" s="100"/>
      <c r="S16" s="100"/>
      <c r="T16" s="100"/>
      <c r="U16" s="100"/>
      <c r="V16" s="100"/>
      <c r="W16" s="100"/>
      <c r="X16" s="100"/>
      <c r="Y16" s="100"/>
    </row>
    <row r="17" spans="1:25" x14ac:dyDescent="0.3">
      <c r="A17" s="141">
        <v>1</v>
      </c>
      <c r="B17" s="65" t="s">
        <v>26</v>
      </c>
      <c r="C17" s="138" t="str">
        <f>_xlfn.XLOOKUP(B17, BOQ!$B$2:$B$1000, BOQ!$C$2:$C$1000, "Not found")</f>
        <v>B.tech/Chief</v>
      </c>
      <c r="D17" s="138">
        <f>_xlfn.XLOOKUP(B17, BOQ!$B$2:$B$1000, BOQ!$D$2:$D$1000, "Not found")</f>
        <v>0</v>
      </c>
      <c r="E17" s="138" t="str">
        <f>_xlfn.XLOOKUP(B17, BOQ!$B$2:$B$1000, BOQ!$E$2:$E$1000, "Not found")</f>
        <v>No.</v>
      </c>
      <c r="F17" s="55">
        <v>1</v>
      </c>
      <c r="G17" s="66">
        <v>20000</v>
      </c>
      <c r="H17" s="139">
        <f>G17*F17</f>
        <v>20000</v>
      </c>
      <c r="J17" s="143">
        <f>_xlfn.XLOOKUP(B17, BOQ!$B$2:$B$1000, BOQ!$F$2:$F$1000, "Not found")</f>
        <v>3</v>
      </c>
    </row>
    <row r="18" spans="1:25" ht="96" x14ac:dyDescent="0.3">
      <c r="A18" s="141">
        <v>2</v>
      </c>
      <c r="B18" s="65" t="str">
        <f>Table2[[#This Row],[Description]]</f>
        <v>75" 4K Mainstream Proff Display for AVSI &amp; Digital Signage Projects with New symm slim Design / Dynamic Crystal Color/ Intelligent UHD upsclalling/24x7-500nits  and Web Browsing/High Contrast Ratio/  HDMI / RS232 / USB / RJ45 / Wi-Fi/ Built-in-Speakers / EDGE LED/ Non Glare Panel with Minimum 25% Haze/ Tizen/ Samsung Workspace-Office 365/PC Less Conference/ VM Ware Horizon/  Quad-Core CPU/ 16 GB Storage (8GB in 85"/98")/ 8MS Response time/ Auto Source Switching &amp; Recovery/ Clean Cable Management with  cable Guide feature/ EMC class B compliant/EPEAT Registered/ IP5X for Dust Proofing / HDR+ 
Approved make: Samsung/ Sony/ LG</v>
      </c>
      <c r="C18" s="138" t="str">
        <f>_xlfn.XLOOKUP(B18, BOQ!$B$2:$B$1000, BOQ!$C$2:$C$1000, "Not found")</f>
        <v>Samsung</v>
      </c>
      <c r="D18" s="138" t="str">
        <f>_xlfn.XLOOKUP(B18, BOQ!$B$2:$B$1000, BOQ!$D$2:$D$1000, "Not found")</f>
        <v>QM75 C</v>
      </c>
      <c r="E18" s="138" t="str">
        <f>_xlfn.XLOOKUP(B18, BOQ!$B$2:$B$1000, BOQ!$E$2:$E$1000, "Not found")</f>
        <v>No.</v>
      </c>
      <c r="F18" s="55">
        <v>9</v>
      </c>
      <c r="G18" s="66">
        <v>70000</v>
      </c>
      <c r="H18" s="139">
        <f t="shared" ref="H18:H20" si="0">G18*F18</f>
        <v>630000</v>
      </c>
      <c r="J18" s="143">
        <f>_xlfn.XLOOKUP(B18, BOQ!$B$2:$B$1000, BOQ!$F$2:$F$1000, "Not found")</f>
        <v>9</v>
      </c>
    </row>
    <row r="19" spans="1:25" ht="96" hidden="1" x14ac:dyDescent="0.3">
      <c r="A19" s="141">
        <v>3</v>
      </c>
      <c r="B19" s="65" t="s">
        <v>24</v>
      </c>
      <c r="C19" s="138" t="str">
        <f>_xlfn.XLOOKUP(B19, BOQ!$B$2:$B$1000, BOQ!$C$2:$C$1000, "Not found")</f>
        <v>Samsung</v>
      </c>
      <c r="D19" s="138" t="str">
        <f>_xlfn.XLOOKUP(B19, BOQ!$B$2:$B$1000, BOQ!$D$2:$D$1000, "Not found")</f>
        <v>QM65 C</v>
      </c>
      <c r="E19" s="138" t="str">
        <f>_xlfn.XLOOKUP(B19, BOQ!$B$2:$B$1000, BOQ!$E$2:$E$1000, "Not found")</f>
        <v>No.</v>
      </c>
      <c r="F19" s="55">
        <v>2</v>
      </c>
      <c r="G19" s="66">
        <v>10000</v>
      </c>
      <c r="H19" s="139">
        <f t="shared" si="0"/>
        <v>20000</v>
      </c>
      <c r="J19" s="143">
        <f>_xlfn.XLOOKUP(B19, BOQ!$B$2:$B$1000, BOQ!$F$2:$F$1000, "Not found")</f>
        <v>30</v>
      </c>
    </row>
    <row r="20" spans="1:25" x14ac:dyDescent="0.3">
      <c r="A20" s="141">
        <v>4</v>
      </c>
      <c r="B20" s="65"/>
      <c r="C20" s="138">
        <f>_xlfn.XLOOKUP(B20, BOQ!$B$2:$B$1000, BOQ!$C$2:$C$1000, "Not found")</f>
        <v>0</v>
      </c>
      <c r="D20" s="138">
        <f>_xlfn.XLOOKUP(B20, BOQ!$B$2:$B$1000, BOQ!$D$2:$D$1000, "Not found")</f>
        <v>0</v>
      </c>
      <c r="E20" s="138">
        <f>_xlfn.XLOOKUP(B20, BOQ!$B$2:$B$1000, BOQ!$E$2:$E$1000, "Not found")</f>
        <v>0</v>
      </c>
      <c r="F20" s="55">
        <v>4</v>
      </c>
      <c r="G20" s="66">
        <v>78900</v>
      </c>
      <c r="H20" s="139">
        <f t="shared" si="0"/>
        <v>315600</v>
      </c>
      <c r="J20" s="143">
        <f>_xlfn.XLOOKUP(B20, BOQ!$B$2:$B$1000, BOQ!$F$2:$F$1000, "Not found")</f>
        <v>0</v>
      </c>
    </row>
    <row r="21" spans="1:25" ht="72" x14ac:dyDescent="0.3">
      <c r="A21" s="141">
        <v>5</v>
      </c>
      <c r="B21" s="65" t="s">
        <v>256</v>
      </c>
      <c r="C21" s="138" t="str">
        <f>_xlfn.XLOOKUP(B21, BOQ!$B$2:$B$1000, BOQ!$C$2:$C$1000, "Not found")</f>
        <v>Polycab</v>
      </c>
      <c r="D21" s="138">
        <f>_xlfn.XLOOKUP(B21, BOQ!$B$2:$B$1000, BOQ!$D$2:$D$1000, "Not found")</f>
        <v>0</v>
      </c>
      <c r="E21" s="138" t="str">
        <f>_xlfn.XLOOKUP(B21, BOQ!$B$2:$B$1000, BOQ!$E$2:$E$1000, "Not found")</f>
        <v>Mtr</v>
      </c>
      <c r="F21" s="55">
        <v>2000</v>
      </c>
      <c r="G21" s="66"/>
      <c r="H21" s="139"/>
      <c r="J21" s="143">
        <f>_xlfn.XLOOKUP(B21, BOQ!$B$2:$B$1000, BOQ!$F$2:$F$1000, "Not found")</f>
        <v>2000</v>
      </c>
    </row>
    <row r="22" spans="1:25" hidden="1" x14ac:dyDescent="0.3">
      <c r="A22" s="141"/>
      <c r="B22" s="65"/>
      <c r="C22" s="138">
        <f>_xlfn.XLOOKUP(B22, BOQ!$B$2:$B$1000, BOQ!$C$2:$C$1000, "Not found")</f>
        <v>0</v>
      </c>
      <c r="D22" s="138">
        <f>_xlfn.XLOOKUP(B22, BOQ!$B$2:$B$1000, BOQ!$D$2:$D$1000, "Not found")</f>
        <v>0</v>
      </c>
      <c r="E22" s="138">
        <f>_xlfn.XLOOKUP(B22, BOQ!$B$2:$B$1000, BOQ!$E$2:$E$1000, "Not found")</f>
        <v>0</v>
      </c>
      <c r="F22" s="55"/>
      <c r="G22" s="66"/>
      <c r="H22" s="139">
        <f>G22*F22</f>
        <v>0</v>
      </c>
      <c r="J22" s="143">
        <f>_xlfn.XLOOKUP(B22, BOQ!$B$2:$B$1000, BOQ!$F$2:$F$1000, "Not found")</f>
        <v>0</v>
      </c>
    </row>
    <row r="23" spans="1:25" x14ac:dyDescent="0.3">
      <c r="A23" s="141"/>
      <c r="B23" s="65"/>
      <c r="C23" s="138">
        <f>_xlfn.XLOOKUP(B23, BOQ!$B$2:$B$1000, BOQ!$C$2:$C$1000, "Not found")</f>
        <v>0</v>
      </c>
      <c r="D23" s="138">
        <f>_xlfn.XLOOKUP(B23, BOQ!$B$2:$B$1000, BOQ!$D$2:$D$1000, "Not found")</f>
        <v>0</v>
      </c>
      <c r="E23" s="138">
        <f>_xlfn.XLOOKUP(B23, BOQ!$B$2:$B$1000, BOQ!$E$2:$E$1000, "Not found")</f>
        <v>0</v>
      </c>
      <c r="F23" s="55"/>
      <c r="G23" s="66"/>
      <c r="H23" s="139">
        <f>G23*F23</f>
        <v>0</v>
      </c>
      <c r="J23" s="143">
        <f>_xlfn.XLOOKUP(B23, BOQ!$B$2:$B$1000, BOQ!$F$2:$F$1000, "Not found")</f>
        <v>0</v>
      </c>
    </row>
    <row r="24" spans="1:25" s="18" customFormat="1" ht="15.75" customHeight="1" x14ac:dyDescent="0.3">
      <c r="A24" s="105" t="s">
        <v>320</v>
      </c>
      <c r="B24" s="106"/>
      <c r="C24" s="106"/>
      <c r="D24" s="107"/>
      <c r="E24" s="67"/>
      <c r="F24" s="68"/>
      <c r="G24" s="108" t="s">
        <v>287</v>
      </c>
      <c r="H24" s="109">
        <f>SUM(H17:H23)</f>
        <v>985600</v>
      </c>
      <c r="I24" s="100"/>
      <c r="J24" s="110"/>
      <c r="L24" s="100"/>
      <c r="M24" s="100"/>
      <c r="N24" s="100"/>
      <c r="O24" s="100"/>
      <c r="P24" s="100"/>
      <c r="Q24" s="100"/>
      <c r="R24" s="100"/>
      <c r="S24" s="100"/>
      <c r="T24" s="100"/>
      <c r="U24" s="100"/>
      <c r="V24" s="100"/>
      <c r="W24" s="100"/>
      <c r="X24" s="100"/>
      <c r="Y24" s="100"/>
    </row>
    <row r="25" spans="1:25" ht="15.75" customHeight="1" x14ac:dyDescent="0.3">
      <c r="A25" s="111" t="s">
        <v>321</v>
      </c>
      <c r="B25" s="112"/>
      <c r="C25" s="112"/>
      <c r="D25" s="113"/>
      <c r="E25" s="227" t="s">
        <v>322</v>
      </c>
      <c r="F25" s="228"/>
      <c r="G25" s="69"/>
      <c r="H25" s="114"/>
    </row>
    <row r="26" spans="1:25" ht="31.5" customHeight="1" x14ac:dyDescent="0.3">
      <c r="A26" s="115" t="s">
        <v>323</v>
      </c>
      <c r="B26" s="112"/>
      <c r="C26" s="112"/>
      <c r="D26" s="113"/>
      <c r="E26" s="229" t="s">
        <v>324</v>
      </c>
      <c r="F26" s="230"/>
      <c r="G26" s="69"/>
      <c r="H26" s="116">
        <f>H24-H25</f>
        <v>985600</v>
      </c>
      <c r="J26" s="117"/>
    </row>
    <row r="27" spans="1:25" ht="20.25" customHeight="1" x14ac:dyDescent="0.3">
      <c r="A27" s="115" t="s">
        <v>325</v>
      </c>
      <c r="B27" s="112"/>
      <c r="C27" s="112"/>
      <c r="D27" s="113"/>
      <c r="E27" s="231" t="s">
        <v>326</v>
      </c>
      <c r="F27" s="232"/>
      <c r="G27" s="69">
        <v>0.09</v>
      </c>
      <c r="H27" s="118">
        <f>H26*G27</f>
        <v>88704</v>
      </c>
      <c r="I27" s="70"/>
      <c r="J27" s="117"/>
    </row>
    <row r="28" spans="1:25" ht="20.25" customHeight="1" x14ac:dyDescent="0.3">
      <c r="A28" s="119"/>
      <c r="B28" s="120"/>
      <c r="C28" s="120"/>
      <c r="D28" s="121"/>
      <c r="E28" s="233"/>
      <c r="F28" s="234"/>
      <c r="G28" s="69">
        <v>0.09</v>
      </c>
      <c r="H28" s="118">
        <f>H26*G28</f>
        <v>88704</v>
      </c>
      <c r="I28" s="70"/>
    </row>
    <row r="29" spans="1:25" s="18" customFormat="1" ht="24.6" customHeight="1" x14ac:dyDescent="0.3">
      <c r="A29" s="122" t="s">
        <v>338</v>
      </c>
      <c r="B29" s="207" t="str" cm="1">
        <f t="array" ref="B29">SpellIndian(H29)</f>
        <v>Rupees Eleven Lakh Sixty Three Thousand Eight Only</v>
      </c>
      <c r="C29" s="208"/>
      <c r="D29" s="208"/>
      <c r="E29" s="208"/>
      <c r="F29" s="209"/>
      <c r="G29" s="123" t="s">
        <v>327</v>
      </c>
      <c r="H29" s="124">
        <f>ROUND(SUM(H26:H28),0)</f>
        <v>1163008</v>
      </c>
      <c r="I29" s="100"/>
      <c r="J29" s="101"/>
      <c r="L29" s="100"/>
      <c r="M29" s="100"/>
      <c r="N29" s="100"/>
      <c r="O29" s="100"/>
      <c r="P29" s="100"/>
      <c r="Q29" s="100"/>
      <c r="R29" s="100"/>
      <c r="S29" s="100"/>
      <c r="T29" s="100"/>
      <c r="U29" s="100"/>
      <c r="V29" s="100"/>
      <c r="W29" s="100"/>
      <c r="X29" s="100"/>
      <c r="Y29" s="100"/>
    </row>
    <row r="30" spans="1:25" s="73" customFormat="1" x14ac:dyDescent="0.3">
      <c r="A30" s="125"/>
      <c r="F30" s="74"/>
      <c r="G30" s="74"/>
      <c r="H30" s="126"/>
      <c r="J30" s="74"/>
    </row>
    <row r="31" spans="1:25" s="100" customFormat="1" ht="13.8" x14ac:dyDescent="0.3">
      <c r="A31" s="235" t="s">
        <v>342</v>
      </c>
      <c r="B31" s="236"/>
      <c r="C31" s="236"/>
      <c r="D31" s="236"/>
      <c r="E31" s="236"/>
      <c r="F31" s="236"/>
      <c r="G31" s="236"/>
      <c r="H31" s="237"/>
      <c r="J31" s="101"/>
    </row>
    <row r="32" spans="1:25" s="73" customFormat="1" x14ac:dyDescent="0.3">
      <c r="A32" s="127"/>
      <c r="B32" s="128"/>
      <c r="C32" s="128"/>
      <c r="D32" s="128"/>
      <c r="E32" s="128"/>
      <c r="F32" s="129"/>
      <c r="G32" s="129"/>
      <c r="H32" s="130"/>
      <c r="J32" s="74"/>
    </row>
    <row r="33" spans="1:10" s="73" customFormat="1" x14ac:dyDescent="0.3">
      <c r="A33" s="131">
        <v>1</v>
      </c>
      <c r="B33" s="132" t="s">
        <v>328</v>
      </c>
      <c r="C33" s="128"/>
      <c r="D33" s="128"/>
      <c r="E33" s="128"/>
      <c r="F33" s="129"/>
      <c r="G33" s="129"/>
      <c r="H33" s="130"/>
      <c r="J33" s="74"/>
    </row>
    <row r="34" spans="1:10" s="73" customFormat="1" x14ac:dyDescent="0.3">
      <c r="A34" s="131">
        <v>2</v>
      </c>
      <c r="B34" s="133" t="s">
        <v>329</v>
      </c>
      <c r="C34" s="128"/>
      <c r="D34" s="128"/>
      <c r="E34" s="128"/>
      <c r="F34" s="129"/>
      <c r="G34" s="129"/>
      <c r="H34" s="130"/>
      <c r="J34" s="74"/>
    </row>
    <row r="35" spans="1:10" s="73" customFormat="1" x14ac:dyDescent="0.3">
      <c r="A35" s="131">
        <v>3</v>
      </c>
      <c r="B35" s="132" t="s">
        <v>330</v>
      </c>
      <c r="C35" s="128"/>
      <c r="D35" s="128"/>
      <c r="E35" s="128"/>
      <c r="F35" s="129"/>
      <c r="G35" s="129"/>
      <c r="H35" s="130"/>
      <c r="J35" s="74"/>
    </row>
    <row r="36" spans="1:10" s="73" customFormat="1" x14ac:dyDescent="0.3">
      <c r="A36" s="131">
        <v>4</v>
      </c>
      <c r="B36" s="132" t="s">
        <v>331</v>
      </c>
      <c r="C36" s="128"/>
      <c r="D36" s="128"/>
      <c r="E36" s="128"/>
      <c r="F36" s="129"/>
      <c r="G36" s="129"/>
      <c r="H36" s="130"/>
      <c r="J36" s="74"/>
    </row>
    <row r="37" spans="1:10" s="73" customFormat="1" x14ac:dyDescent="0.3">
      <c r="A37" s="131">
        <v>5</v>
      </c>
      <c r="B37" s="132" t="s">
        <v>332</v>
      </c>
      <c r="C37" s="128"/>
      <c r="D37" s="128"/>
      <c r="E37" s="128"/>
      <c r="F37" s="129"/>
      <c r="G37" s="129"/>
      <c r="H37" s="130"/>
      <c r="J37" s="74"/>
    </row>
    <row r="38" spans="1:10" s="73" customFormat="1" x14ac:dyDescent="0.3">
      <c r="A38" s="131">
        <v>6</v>
      </c>
      <c r="B38" s="132" t="s">
        <v>333</v>
      </c>
      <c r="F38" s="74"/>
      <c r="G38" s="74"/>
      <c r="H38" s="126"/>
      <c r="J38" s="74"/>
    </row>
    <row r="39" spans="1:10" s="73" customFormat="1" x14ac:dyDescent="0.3">
      <c r="A39" s="131"/>
      <c r="B39" s="132"/>
      <c r="F39" s="74"/>
      <c r="G39" s="74"/>
      <c r="H39" s="126"/>
      <c r="J39" s="74"/>
    </row>
    <row r="40" spans="1:10" s="73" customFormat="1" ht="17.25" customHeight="1" x14ac:dyDescent="0.3">
      <c r="A40" s="216"/>
      <c r="B40" s="217"/>
      <c r="C40" s="217"/>
      <c r="D40" s="217"/>
      <c r="E40" s="217"/>
      <c r="F40" s="217"/>
      <c r="G40" s="217"/>
      <c r="H40" s="218"/>
      <c r="J40" s="74"/>
    </row>
    <row r="41" spans="1:10" s="100" customFormat="1" ht="17.25" customHeight="1" x14ac:dyDescent="0.3">
      <c r="A41" s="219" t="str">
        <f>E1</f>
        <v>Zerone Technologies Pvt Ltd</v>
      </c>
      <c r="B41" s="220"/>
      <c r="C41" s="220"/>
      <c r="D41" s="220"/>
      <c r="E41" s="220"/>
      <c r="F41" s="221" t="str">
        <f>B1</f>
        <v>DigiMRO Distribution (India) Pvt. Ltd.</v>
      </c>
      <c r="G41" s="222"/>
      <c r="H41" s="223"/>
      <c r="J41" s="101"/>
    </row>
    <row r="42" spans="1:10" s="100" customFormat="1" ht="14.4" customHeight="1" x14ac:dyDescent="0.3">
      <c r="A42" s="135" t="s">
        <v>334</v>
      </c>
      <c r="B42" s="134" t="s">
        <v>335</v>
      </c>
      <c r="C42" s="224" t="s">
        <v>336</v>
      </c>
      <c r="D42" s="225"/>
      <c r="E42" s="226"/>
      <c r="F42" s="221" t="s">
        <v>337</v>
      </c>
      <c r="G42" s="222"/>
      <c r="H42" s="223"/>
      <c r="J42" s="101"/>
    </row>
    <row r="43" spans="1:10" s="73" customFormat="1" ht="117.6" customHeight="1" thickBot="1" x14ac:dyDescent="0.35">
      <c r="A43" s="136"/>
      <c r="B43" s="137"/>
      <c r="C43" s="204"/>
      <c r="D43" s="205"/>
      <c r="E43" s="206"/>
      <c r="F43" s="204"/>
      <c r="G43" s="205"/>
      <c r="H43" s="215"/>
      <c r="J43" s="74"/>
    </row>
    <row r="44" spans="1:10" s="73" customFormat="1" x14ac:dyDescent="0.3">
      <c r="F44" s="74"/>
      <c r="G44" s="74"/>
      <c r="H44" s="74"/>
      <c r="J44" s="74"/>
    </row>
    <row r="45" spans="1:10" s="73" customFormat="1" x14ac:dyDescent="0.3">
      <c r="F45" s="74"/>
      <c r="G45" s="74"/>
      <c r="H45" s="74"/>
      <c r="J45" s="74"/>
    </row>
    <row r="46" spans="1:10" s="73" customFormat="1" x14ac:dyDescent="0.3">
      <c r="F46" s="74"/>
      <c r="G46" s="74"/>
      <c r="H46" s="74"/>
      <c r="J46" s="74"/>
    </row>
    <row r="47" spans="1:10" s="73" customFormat="1" x14ac:dyDescent="0.3">
      <c r="F47" s="74"/>
      <c r="G47" s="74"/>
      <c r="H47" s="74"/>
      <c r="J47" s="74"/>
    </row>
    <row r="48" spans="1:10" s="73" customFormat="1" x14ac:dyDescent="0.3">
      <c r="F48" s="74"/>
      <c r="G48" s="74"/>
      <c r="H48" s="74"/>
      <c r="J48" s="74"/>
    </row>
    <row r="49" spans="6:10" s="73" customFormat="1" x14ac:dyDescent="0.3">
      <c r="F49" s="74"/>
      <c r="G49" s="74"/>
      <c r="H49" s="74"/>
      <c r="J49" s="74"/>
    </row>
    <row r="50" spans="6:10" s="73" customFormat="1" x14ac:dyDescent="0.3">
      <c r="F50" s="74"/>
      <c r="G50" s="74"/>
      <c r="H50" s="74"/>
      <c r="J50" s="74"/>
    </row>
    <row r="51" spans="6:10" s="73" customFormat="1" x14ac:dyDescent="0.3">
      <c r="F51" s="74"/>
      <c r="G51" s="74"/>
      <c r="H51" s="74"/>
      <c r="J51" s="74"/>
    </row>
    <row r="52" spans="6:10" s="73" customFormat="1" x14ac:dyDescent="0.3">
      <c r="F52" s="74"/>
      <c r="G52" s="74"/>
      <c r="H52" s="74"/>
      <c r="J52" s="74"/>
    </row>
    <row r="53" spans="6:10" s="73" customFormat="1" x14ac:dyDescent="0.3">
      <c r="F53" s="74"/>
      <c r="G53" s="74"/>
      <c r="H53" s="74"/>
      <c r="J53" s="74"/>
    </row>
    <row r="54" spans="6:10" s="73" customFormat="1" x14ac:dyDescent="0.3">
      <c r="F54" s="74"/>
      <c r="G54" s="74"/>
      <c r="H54" s="74"/>
      <c r="J54" s="74"/>
    </row>
    <row r="55" spans="6:10" s="73" customFormat="1" x14ac:dyDescent="0.3">
      <c r="F55" s="74"/>
      <c r="G55" s="74"/>
      <c r="H55" s="74"/>
      <c r="J55" s="74"/>
    </row>
    <row r="56" spans="6:10" s="73" customFormat="1" x14ac:dyDescent="0.3">
      <c r="F56" s="74"/>
      <c r="G56" s="74"/>
      <c r="H56" s="74"/>
      <c r="J56" s="74"/>
    </row>
    <row r="57" spans="6:10" s="73" customFormat="1" x14ac:dyDescent="0.3">
      <c r="F57" s="74"/>
      <c r="G57" s="74"/>
      <c r="H57" s="74"/>
      <c r="J57" s="74"/>
    </row>
    <row r="58" spans="6:10" s="73" customFormat="1" x14ac:dyDescent="0.3"/>
    <row r="59" spans="6:10" s="73" customFormat="1" x14ac:dyDescent="0.3">
      <c r="F59" s="74"/>
      <c r="G59" s="74"/>
      <c r="H59" s="74"/>
      <c r="J59" s="74"/>
    </row>
    <row r="60" spans="6:10" s="73" customFormat="1" x14ac:dyDescent="0.3">
      <c r="F60" s="74"/>
      <c r="G60" s="74"/>
      <c r="H60" s="74"/>
      <c r="J60" s="74"/>
    </row>
    <row r="61" spans="6:10" s="73" customFormat="1" x14ac:dyDescent="0.3">
      <c r="F61" s="74"/>
      <c r="G61" s="74"/>
      <c r="H61" s="74"/>
      <c r="J61" s="74"/>
    </row>
    <row r="62" spans="6:10" s="73" customFormat="1" x14ac:dyDescent="0.3">
      <c r="F62" s="74"/>
      <c r="G62" s="74"/>
      <c r="H62" s="74"/>
      <c r="J62" s="74"/>
    </row>
    <row r="63" spans="6:10" s="73" customFormat="1" x14ac:dyDescent="0.3">
      <c r="F63" s="74"/>
      <c r="G63" s="74"/>
      <c r="H63" s="74"/>
      <c r="J63" s="74"/>
    </row>
    <row r="64" spans="6:10" s="73" customFormat="1" x14ac:dyDescent="0.3">
      <c r="F64" s="74"/>
      <c r="G64" s="74"/>
      <c r="H64" s="74"/>
      <c r="J64" s="74"/>
    </row>
    <row r="65" spans="6:10" s="73" customFormat="1" x14ac:dyDescent="0.3">
      <c r="F65" s="74"/>
      <c r="G65" s="74"/>
      <c r="H65" s="74"/>
      <c r="J65" s="74"/>
    </row>
    <row r="66" spans="6:10" s="73" customFormat="1" x14ac:dyDescent="0.3">
      <c r="F66" s="74"/>
      <c r="G66" s="74"/>
      <c r="H66" s="74"/>
      <c r="J66" s="74"/>
    </row>
    <row r="67" spans="6:10" s="73" customFormat="1" x14ac:dyDescent="0.3">
      <c r="F67" s="74"/>
      <c r="G67" s="74"/>
      <c r="H67" s="74"/>
      <c r="J67" s="74"/>
    </row>
    <row r="68" spans="6:10" s="73" customFormat="1" x14ac:dyDescent="0.3">
      <c r="F68" s="74"/>
      <c r="G68" s="74"/>
      <c r="H68" s="74"/>
      <c r="J68" s="74"/>
    </row>
    <row r="69" spans="6:10" s="73" customFormat="1" x14ac:dyDescent="0.3">
      <c r="F69" s="74"/>
      <c r="G69" s="74"/>
      <c r="H69" s="74"/>
      <c r="J69" s="74"/>
    </row>
    <row r="70" spans="6:10" s="73" customFormat="1" x14ac:dyDescent="0.3">
      <c r="F70" s="74"/>
      <c r="G70" s="74"/>
      <c r="H70" s="74"/>
      <c r="J70" s="74"/>
    </row>
    <row r="71" spans="6:10" s="73" customFormat="1" x14ac:dyDescent="0.3">
      <c r="F71" s="74"/>
      <c r="G71" s="74"/>
      <c r="H71" s="74"/>
      <c r="J71" s="74"/>
    </row>
    <row r="72" spans="6:10" s="73" customFormat="1" x14ac:dyDescent="0.3">
      <c r="F72" s="74"/>
      <c r="G72" s="74"/>
      <c r="H72" s="74"/>
      <c r="J72" s="74"/>
    </row>
    <row r="73" spans="6:10" s="73" customFormat="1" x14ac:dyDescent="0.3">
      <c r="F73" s="74"/>
      <c r="G73" s="74"/>
      <c r="H73" s="74"/>
      <c r="J73" s="74"/>
    </row>
    <row r="74" spans="6:10" s="73" customFormat="1" x14ac:dyDescent="0.3">
      <c r="F74" s="74"/>
      <c r="G74" s="74"/>
      <c r="H74" s="74"/>
      <c r="J74" s="74"/>
    </row>
    <row r="75" spans="6:10" s="73" customFormat="1" x14ac:dyDescent="0.3">
      <c r="F75" s="74"/>
      <c r="G75" s="74"/>
      <c r="H75" s="74"/>
      <c r="J75" s="74"/>
    </row>
    <row r="76" spans="6:10" s="73" customFormat="1" x14ac:dyDescent="0.3">
      <c r="F76" s="74"/>
      <c r="G76" s="74"/>
      <c r="H76" s="74"/>
      <c r="J76" s="74"/>
    </row>
    <row r="77" spans="6:10" s="73" customFormat="1" x14ac:dyDescent="0.3">
      <c r="F77" s="74"/>
      <c r="G77" s="74"/>
      <c r="H77" s="74"/>
      <c r="J77" s="74"/>
    </row>
    <row r="78" spans="6:10" s="73" customFormat="1" x14ac:dyDescent="0.3">
      <c r="F78" s="74"/>
      <c r="G78" s="74"/>
      <c r="H78" s="74"/>
      <c r="J78" s="74"/>
    </row>
    <row r="79" spans="6:10" s="73" customFormat="1" x14ac:dyDescent="0.3">
      <c r="F79" s="74"/>
      <c r="G79" s="74"/>
      <c r="H79" s="74"/>
      <c r="J79" s="74"/>
    </row>
    <row r="80" spans="6:10" s="73" customFormat="1" x14ac:dyDescent="0.3">
      <c r="F80" s="74"/>
      <c r="G80" s="74"/>
      <c r="H80" s="74"/>
      <c r="J80" s="74"/>
    </row>
    <row r="81" spans="6:10" s="73" customFormat="1" x14ac:dyDescent="0.3">
      <c r="F81" s="74"/>
      <c r="G81" s="74"/>
      <c r="H81" s="74"/>
      <c r="J81" s="74"/>
    </row>
    <row r="82" spans="6:10" s="73" customFormat="1" x14ac:dyDescent="0.3">
      <c r="F82" s="74"/>
      <c r="G82" s="74"/>
      <c r="H82" s="74"/>
      <c r="J82" s="74"/>
    </row>
    <row r="83" spans="6:10" s="73" customFormat="1" x14ac:dyDescent="0.3">
      <c r="F83" s="74"/>
      <c r="G83" s="74"/>
      <c r="H83" s="74"/>
      <c r="J83" s="74"/>
    </row>
    <row r="84" spans="6:10" s="73" customFormat="1" x14ac:dyDescent="0.3">
      <c r="F84" s="74"/>
      <c r="G84" s="74"/>
      <c r="H84" s="74"/>
      <c r="J84" s="74"/>
    </row>
    <row r="85" spans="6:10" s="73" customFormat="1" x14ac:dyDescent="0.3">
      <c r="F85" s="74"/>
      <c r="G85" s="74"/>
      <c r="H85" s="74"/>
      <c r="J85" s="74"/>
    </row>
    <row r="86" spans="6:10" s="73" customFormat="1" x14ac:dyDescent="0.3">
      <c r="F86" s="74"/>
      <c r="G86" s="74"/>
      <c r="H86" s="74"/>
      <c r="J86" s="74"/>
    </row>
    <row r="87" spans="6:10" s="73" customFormat="1" x14ac:dyDescent="0.3">
      <c r="F87" s="74"/>
      <c r="G87" s="74"/>
      <c r="H87" s="74"/>
      <c r="J87" s="74"/>
    </row>
    <row r="88" spans="6:10" s="73" customFormat="1" x14ac:dyDescent="0.3">
      <c r="F88" s="74"/>
      <c r="G88" s="74"/>
      <c r="H88" s="74"/>
      <c r="J88" s="74"/>
    </row>
    <row r="89" spans="6:10" s="73" customFormat="1" x14ac:dyDescent="0.3">
      <c r="F89" s="74"/>
      <c r="G89" s="74"/>
      <c r="H89" s="74"/>
      <c r="J89" s="74"/>
    </row>
    <row r="90" spans="6:10" s="73" customFormat="1" x14ac:dyDescent="0.3">
      <c r="F90" s="74"/>
      <c r="G90" s="74"/>
      <c r="H90" s="74"/>
      <c r="J90" s="74"/>
    </row>
    <row r="91" spans="6:10" s="73" customFormat="1" x14ac:dyDescent="0.3">
      <c r="F91" s="74"/>
      <c r="G91" s="74"/>
      <c r="H91" s="74"/>
      <c r="J91" s="74"/>
    </row>
    <row r="92" spans="6:10" s="73" customFormat="1" x14ac:dyDescent="0.3">
      <c r="F92" s="74"/>
      <c r="G92" s="74"/>
      <c r="H92" s="74"/>
      <c r="J92" s="74"/>
    </row>
    <row r="93" spans="6:10" s="73" customFormat="1" x14ac:dyDescent="0.3">
      <c r="F93" s="74"/>
      <c r="G93" s="74"/>
      <c r="H93" s="74"/>
      <c r="J93" s="74"/>
    </row>
    <row r="94" spans="6:10" s="73" customFormat="1" x14ac:dyDescent="0.3">
      <c r="F94" s="74"/>
      <c r="G94" s="74"/>
      <c r="H94" s="74"/>
      <c r="J94" s="74"/>
    </row>
    <row r="95" spans="6:10" s="73" customFormat="1" x14ac:dyDescent="0.3">
      <c r="F95" s="74"/>
      <c r="G95" s="74"/>
      <c r="H95" s="74"/>
      <c r="J95" s="74"/>
    </row>
    <row r="96" spans="6:10" s="73" customFormat="1" x14ac:dyDescent="0.3">
      <c r="F96" s="74"/>
      <c r="G96" s="74"/>
      <c r="H96" s="74"/>
      <c r="J96" s="74"/>
    </row>
    <row r="97" spans="6:10" s="73" customFormat="1" x14ac:dyDescent="0.3">
      <c r="F97" s="74"/>
      <c r="G97" s="74"/>
      <c r="H97" s="74"/>
      <c r="J97" s="74"/>
    </row>
    <row r="98" spans="6:10" s="73" customFormat="1" x14ac:dyDescent="0.3">
      <c r="F98" s="74"/>
      <c r="G98" s="74"/>
      <c r="H98" s="74"/>
      <c r="J98" s="74"/>
    </row>
    <row r="99" spans="6:10" s="73" customFormat="1" x14ac:dyDescent="0.3">
      <c r="F99" s="74"/>
      <c r="G99" s="74"/>
      <c r="H99" s="74"/>
      <c r="J99" s="74"/>
    </row>
    <row r="100" spans="6:10" s="73" customFormat="1" x14ac:dyDescent="0.3">
      <c r="F100" s="74"/>
      <c r="G100" s="74"/>
      <c r="H100" s="74"/>
      <c r="J100" s="74"/>
    </row>
    <row r="101" spans="6:10" s="73" customFormat="1" x14ac:dyDescent="0.3">
      <c r="F101" s="74"/>
      <c r="G101" s="74"/>
      <c r="H101" s="74"/>
      <c r="J101" s="74"/>
    </row>
    <row r="102" spans="6:10" s="73" customFormat="1" x14ac:dyDescent="0.3">
      <c r="F102" s="74"/>
      <c r="G102" s="74"/>
      <c r="H102" s="74"/>
      <c r="J102" s="74"/>
    </row>
    <row r="103" spans="6:10" s="73" customFormat="1" x14ac:dyDescent="0.3">
      <c r="F103" s="74"/>
      <c r="G103" s="74"/>
      <c r="H103" s="74"/>
      <c r="J103" s="74"/>
    </row>
    <row r="104" spans="6:10" s="73" customFormat="1" x14ac:dyDescent="0.3">
      <c r="F104" s="74"/>
      <c r="G104" s="74"/>
      <c r="H104" s="74"/>
      <c r="J104" s="74"/>
    </row>
    <row r="105" spans="6:10" s="73" customFormat="1" x14ac:dyDescent="0.3">
      <c r="F105" s="74"/>
      <c r="G105" s="74"/>
      <c r="H105" s="74"/>
      <c r="J105" s="74"/>
    </row>
    <row r="106" spans="6:10" s="73" customFormat="1" x14ac:dyDescent="0.3">
      <c r="F106" s="74"/>
      <c r="G106" s="74"/>
      <c r="H106" s="74"/>
      <c r="J106" s="74"/>
    </row>
    <row r="107" spans="6:10" s="73" customFormat="1" x14ac:dyDescent="0.3">
      <c r="F107" s="74"/>
      <c r="G107" s="74"/>
      <c r="H107" s="74"/>
      <c r="J107" s="74"/>
    </row>
    <row r="108" spans="6:10" s="73" customFormat="1" x14ac:dyDescent="0.3">
      <c r="F108" s="74"/>
      <c r="G108" s="74"/>
      <c r="H108" s="74"/>
      <c r="J108" s="74"/>
    </row>
    <row r="109" spans="6:10" s="73" customFormat="1" x14ac:dyDescent="0.3">
      <c r="F109" s="74"/>
      <c r="G109" s="74"/>
      <c r="H109" s="74"/>
      <c r="J109" s="74"/>
    </row>
    <row r="110" spans="6:10" s="73" customFormat="1" x14ac:dyDescent="0.3">
      <c r="F110" s="74"/>
      <c r="G110" s="74"/>
      <c r="H110" s="74"/>
      <c r="J110" s="16"/>
    </row>
    <row r="111" spans="6:10" s="73" customFormat="1" x14ac:dyDescent="0.3">
      <c r="F111" s="74"/>
      <c r="G111" s="74"/>
      <c r="H111" s="74"/>
      <c r="J111" s="74"/>
    </row>
    <row r="112" spans="6:10" s="73" customFormat="1" x14ac:dyDescent="0.3">
      <c r="F112" s="74"/>
      <c r="G112" s="74"/>
      <c r="H112" s="74"/>
      <c r="J112" s="74"/>
    </row>
    <row r="113" spans="6:10" s="73" customFormat="1" x14ac:dyDescent="0.3">
      <c r="F113" s="74"/>
      <c r="G113" s="74"/>
      <c r="H113" s="74"/>
      <c r="J113" s="74"/>
    </row>
    <row r="114" spans="6:10" s="73" customFormat="1" x14ac:dyDescent="0.3">
      <c r="F114" s="74"/>
      <c r="G114" s="74"/>
      <c r="H114" s="74"/>
      <c r="J114" s="74"/>
    </row>
    <row r="115" spans="6:10" s="73" customFormat="1" x14ac:dyDescent="0.3">
      <c r="F115" s="74"/>
      <c r="G115" s="74"/>
      <c r="H115" s="74"/>
      <c r="J115" s="74"/>
    </row>
    <row r="116" spans="6:10" s="73" customFormat="1" x14ac:dyDescent="0.3">
      <c r="F116" s="74"/>
      <c r="G116" s="74"/>
      <c r="H116" s="74"/>
      <c r="J116" s="74"/>
    </row>
    <row r="117" spans="6:10" s="73" customFormat="1" x14ac:dyDescent="0.3">
      <c r="F117" s="74"/>
      <c r="G117" s="74"/>
      <c r="H117" s="74"/>
      <c r="J117" s="74"/>
    </row>
    <row r="118" spans="6:10" s="73" customFormat="1" x14ac:dyDescent="0.3">
      <c r="F118" s="74"/>
      <c r="G118" s="74"/>
      <c r="H118" s="74"/>
      <c r="J118" s="74"/>
    </row>
    <row r="119" spans="6:10" s="73" customFormat="1" x14ac:dyDescent="0.3">
      <c r="F119" s="74"/>
      <c r="G119" s="74"/>
      <c r="H119" s="74"/>
      <c r="J119" s="74"/>
    </row>
    <row r="120" spans="6:10" s="73" customFormat="1" x14ac:dyDescent="0.3">
      <c r="F120" s="74"/>
      <c r="G120" s="74"/>
      <c r="H120" s="74"/>
      <c r="J120" s="74"/>
    </row>
    <row r="122" spans="6:10" s="73" customFormat="1" ht="13.8" x14ac:dyDescent="0.3">
      <c r="F122" s="16"/>
      <c r="G122" s="16"/>
      <c r="H122" s="16"/>
      <c r="J122" s="101"/>
    </row>
    <row r="123" spans="6:10" s="73" customFormat="1" ht="13.8" x14ac:dyDescent="0.3">
      <c r="F123" s="16"/>
      <c r="G123" s="16"/>
      <c r="H123" s="16"/>
      <c r="J123" s="103" t="s">
        <v>353</v>
      </c>
    </row>
    <row r="124" spans="6:10" s="73" customFormat="1" x14ac:dyDescent="0.3">
      <c r="F124" s="16"/>
      <c r="G124" s="16"/>
      <c r="H124" s="16"/>
      <c r="J124" s="55">
        <v>6</v>
      </c>
    </row>
    <row r="125" spans="6:10" s="73" customFormat="1" x14ac:dyDescent="0.3">
      <c r="F125" s="16"/>
      <c r="G125" s="16"/>
      <c r="H125" s="16"/>
      <c r="J125" s="55">
        <f>_xlfn.XLOOKUP(B125, BOQ!$B$2:$B$1000, BOQ!$F$2:$F$1000, "Not found")</f>
        <v>0</v>
      </c>
    </row>
    <row r="126" spans="6:10" s="73" customFormat="1" x14ac:dyDescent="0.3">
      <c r="F126" s="16"/>
      <c r="G126" s="16"/>
      <c r="H126" s="16"/>
      <c r="J126" s="55">
        <f>_xlfn.XLOOKUP(B126, BOQ!$B$2:$B$1000, BOQ!$F$2:$F$1000, "Not found")</f>
        <v>0</v>
      </c>
    </row>
  </sheetData>
  <mergeCells count="36">
    <mergeCell ref="A41:E41"/>
    <mergeCell ref="F41:H41"/>
    <mergeCell ref="C42:E42"/>
    <mergeCell ref="F42:H42"/>
    <mergeCell ref="C43:E43"/>
    <mergeCell ref="F43:H43"/>
    <mergeCell ref="A40:H40"/>
    <mergeCell ref="B10:C10"/>
    <mergeCell ref="E10:H10"/>
    <mergeCell ref="B11:C11"/>
    <mergeCell ref="E11:H11"/>
    <mergeCell ref="A13:H13"/>
    <mergeCell ref="A15:H15"/>
    <mergeCell ref="E25:F25"/>
    <mergeCell ref="E26:F26"/>
    <mergeCell ref="E27:F28"/>
    <mergeCell ref="B29:F29"/>
    <mergeCell ref="A31:H31"/>
    <mergeCell ref="B7:C7"/>
    <mergeCell ref="E7:H7"/>
    <mergeCell ref="B8:C8"/>
    <mergeCell ref="E8:H8"/>
    <mergeCell ref="B9:C9"/>
    <mergeCell ref="E9:H9"/>
    <mergeCell ref="B4:C4"/>
    <mergeCell ref="E4:H4"/>
    <mergeCell ref="B5:C5"/>
    <mergeCell ref="E5:H5"/>
    <mergeCell ref="B6:C6"/>
    <mergeCell ref="E6:H6"/>
    <mergeCell ref="B1:C1"/>
    <mergeCell ref="E1:H1"/>
    <mergeCell ref="B2:C2"/>
    <mergeCell ref="E2:H2"/>
    <mergeCell ref="B3:C3"/>
    <mergeCell ref="E3:H3"/>
  </mergeCells>
  <conditionalFormatting sqref="J124:J126 C17:E23 J17:J23">
    <cfRule type="cellIs" dxfId="12" priority="1" operator="equal">
      <formula>0</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74C6B453-816C-4583-810F-1CDA9250BBE0}">
          <x14:formula1>
            <xm:f>BOQ!$B$2:$B$1000</xm:f>
          </x14:formula1>
          <xm:sqref>B17 B19:B23</xm:sqref>
        </x14:dataValidation>
        <x14:dataValidation type="custom" allowBlank="1" showInputMessage="1" showErrorMessage="1" error="Qty Exceeds BOQ" xr:uid="{5CD1721E-4C63-4D4B-99DC-3C34EADBF5A5}">
          <x14:formula1>
            <xm:f>F17&lt;=_xlfn.XLOOKUP(B17, BOQ!$B$2:$B$1000, BOQ!$F$2:$F$1000)</xm:f>
          </x14:formula1>
          <xm:sqref>F17:F23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Summary</vt:lpstr>
      <vt:lpstr>DC</vt:lpstr>
      <vt:lpstr>Purchase</vt:lpstr>
      <vt:lpstr>BOQ</vt:lpstr>
      <vt:lpstr>PO Master</vt:lpstr>
      <vt:lpstr>PO (2)</vt:lpstr>
      <vt:lpstr>Sheet2</vt:lpstr>
      <vt:lpstr>DC!Print_Area</vt:lpstr>
      <vt:lpstr>'PO (2)'!Print_Area</vt:lpstr>
      <vt:lpstr>'PO Master'!Print_Area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Musthafa</dc:creator>
  <cp:lastModifiedBy>HP</cp:lastModifiedBy>
  <cp:lastPrinted>2025-07-11T12:58:25Z</cp:lastPrinted>
  <dcterms:created xsi:type="dcterms:W3CDTF">2015-06-05T18:17:20Z</dcterms:created>
  <dcterms:modified xsi:type="dcterms:W3CDTF">2025-07-11T14:31:00Z</dcterms:modified>
</cp:coreProperties>
</file>